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Couresware\Workspace\AI Procurement Coordinator\报价单整理\原始文档\"/>
    </mc:Choice>
  </mc:AlternateContent>
  <xr:revisionPtr revIDLastSave="0" documentId="13_ncr:1_{52171180-9A0D-426D-836E-CAF51FBFD1C9}" xr6:coauthVersionLast="47" xr6:coauthVersionMax="47" xr10:uidLastSave="{00000000-0000-0000-0000-000000000000}"/>
  <bookViews>
    <workbookView xWindow="-23148" yWindow="6036" windowWidth="23256" windowHeight="12456" xr2:uid="{00000000-000D-0000-FFFF-FFFF00000000}"/>
  </bookViews>
  <sheets>
    <sheet name="Sheet1" sheetId="1" r:id="rId1"/>
    <sheet name="Parsed_OCR_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H7" i="1"/>
  <c r="H9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<sst xmlns="http://schemas.openxmlformats.org/spreadsheetml/2006/main" count="29" uniqueCount="28">
  <si>
    <r>
      <rPr>
        <b/>
        <sz val="10"/>
        <color theme="1"/>
        <rFont val="Instrument Sans"/>
      </rPr>
      <t xml:space="preserve">TELOP </t>
    </r>
    <r>
      <rPr>
        <sz val="10"/>
        <color theme="1"/>
        <rFont val="Instrument Sans"/>
      </rPr>
      <t>TRADING CO., LTD</t>
    </r>
  </si>
  <si>
    <t>Client name</t>
  </si>
  <si>
    <t>QUOTATION</t>
  </si>
  <si>
    <t>QUOTATION DATE</t>
  </si>
  <si>
    <t>#35154151</t>
  </si>
  <si>
    <t>Image Reference</t>
  </si>
  <si>
    <t>Description</t>
  </si>
  <si>
    <t>Specifications</t>
  </si>
  <si>
    <t>Production days</t>
  </si>
  <si>
    <t>MOQ/QTY</t>
  </si>
  <si>
    <t>Unit price (RMB)</t>
    <phoneticPr fontId="1" type="noConversion"/>
  </si>
  <si>
    <t>Supplier details</t>
  </si>
  <si>
    <t>Remarks</t>
  </si>
  <si>
    <t>Summary</t>
  </si>
  <si>
    <r>
      <t xml:space="preserve">Issued by </t>
    </r>
    <r>
      <rPr>
        <sz val="10"/>
        <color theme="1"/>
        <rFont val="Instrument Sans"/>
      </rPr>
      <t>Hod</t>
    </r>
  </si>
  <si>
    <r>
      <rPr>
        <b/>
        <sz val="9"/>
        <color theme="1"/>
        <rFont val="Instrument Sans"/>
      </rPr>
      <t>Unit 04-05, 16/F, The Broadway, 54-62 Lockhart Road, Wanchai, Hong-Kong</t>
    </r>
    <r>
      <rPr>
        <sz val="9"/>
        <color theme="1"/>
        <rFont val="Instrument Sans"/>
      </rPr>
      <t xml:space="preserve">
</t>
    </r>
    <r>
      <rPr>
        <b/>
        <sz val="9"/>
        <color theme="1"/>
        <rFont val="Instrument Sans"/>
      </rPr>
      <t>Tel</t>
    </r>
    <r>
      <rPr>
        <sz val="9"/>
        <color theme="1"/>
        <rFont val="Instrument Sans"/>
      </rPr>
      <t xml:space="preserve"> +8613113398735 
</t>
    </r>
    <r>
      <rPr>
        <b/>
        <sz val="9"/>
        <color theme="1"/>
        <rFont val="Instrument Sans"/>
      </rPr>
      <t>E-mail</t>
    </r>
    <r>
      <rPr>
        <sz val="9"/>
        <color theme="1"/>
        <rFont val="Instrument Sans"/>
      </rPr>
      <t xml:space="preserve"> info@teloptrading.com 
</t>
    </r>
    <r>
      <rPr>
        <b/>
        <sz val="9"/>
        <color theme="1"/>
        <rFont val="Instrument Sans"/>
      </rPr>
      <t>Website</t>
    </r>
    <r>
      <rPr>
        <sz val="9"/>
        <color theme="1"/>
        <rFont val="Instrument Sans"/>
      </rPr>
      <t xml:space="preserve"> www.teloptrading.com</t>
    </r>
  </si>
  <si>
    <t>Supplier
Code</t>
  </si>
  <si>
    <t>Hair brush</t>
    <phoneticPr fontId="1" type="noConversion"/>
  </si>
  <si>
    <t>A full refund of the mold charge shall be issued when the total output hits 100,000 pieces.</t>
    <phoneticPr fontId="1" type="noConversion"/>
  </si>
  <si>
    <t>临沂柯森家居用品有限公司</t>
    <phoneticPr fontId="1" type="noConversion"/>
  </si>
  <si>
    <t>N/A</t>
    <phoneticPr fontId="1" type="noConversion"/>
  </si>
  <si>
    <r>
      <t xml:space="preserve">Size: 
</t>
    </r>
    <r>
      <rPr>
        <b/>
        <sz val="10"/>
        <color rgb="FF000000"/>
        <rFont val="Instrument Sans"/>
      </rPr>
      <t>24.5x10x1.1cm</t>
    </r>
    <r>
      <rPr>
        <sz val="10"/>
        <color rgb="FF000000"/>
        <rFont val="Instrument Sans"/>
      </rPr>
      <t xml:space="preserve">
Materials:
</t>
    </r>
    <r>
      <rPr>
        <b/>
        <sz val="10"/>
        <color rgb="FF000000"/>
        <rFont val="Instrument Sans"/>
      </rPr>
      <t>Handle made of solid beech wood with TPEE comb teeth</t>
    </r>
    <r>
      <rPr>
        <sz val="10"/>
        <color rgb="FF000000"/>
        <rFont val="Instrument Sans"/>
      </rPr>
      <t xml:space="preserve">
Colors:
</t>
    </r>
    <r>
      <rPr>
        <b/>
        <sz val="10"/>
        <color rgb="FF000000"/>
        <rFont val="Instrument Sans"/>
      </rPr>
      <t>Beech tone</t>
    </r>
    <r>
      <rPr>
        <sz val="10"/>
        <color rgb="FF000000"/>
        <rFont val="Instrument Sans"/>
      </rPr>
      <t xml:space="preserve">
Logo:
</t>
    </r>
    <r>
      <rPr>
        <b/>
        <sz val="10"/>
        <color rgb="FF000000"/>
        <rFont val="Instrument Sans"/>
      </rPr>
      <t>Laser engraved logo on the back</t>
    </r>
    <r>
      <rPr>
        <sz val="10"/>
        <color rgb="FF000000"/>
        <rFont val="Instrument Sans"/>
      </rPr>
      <t xml:space="preserve">
Package:
</t>
    </r>
    <r>
      <rPr>
        <b/>
        <sz val="10"/>
        <color rgb="FF000000"/>
        <rFont val="Instrument Sans"/>
      </rPr>
      <t>N/A</t>
    </r>
    <r>
      <rPr>
        <sz val="10"/>
        <color rgb="FF000000"/>
        <rFont val="Instrument Sans"/>
      </rPr>
      <t xml:space="preserve">
Other: 
</t>
    </r>
    <r>
      <rPr>
        <b/>
        <sz val="10"/>
        <color rgb="FF000000"/>
        <rFont val="Instrument Sans"/>
      </rPr>
      <t>N/A</t>
    </r>
    <phoneticPr fontId="1" type="noConversion"/>
  </si>
  <si>
    <t>Mold cost</t>
    <phoneticPr fontId="1" type="noConversion"/>
  </si>
  <si>
    <r>
      <t xml:space="preserve">Name:
</t>
    </r>
    <r>
      <rPr>
        <b/>
        <sz val="10"/>
        <color theme="1"/>
        <rFont val="Instrument Sans"/>
      </rPr>
      <t>临沂柯森家居用品有限公司</t>
    </r>
    <r>
      <rPr>
        <sz val="10"/>
        <color theme="1"/>
        <rFont val="Instrument Sans"/>
      </rPr>
      <t xml:space="preserve">
Location:
</t>
    </r>
    <r>
      <rPr>
        <b/>
        <sz val="10"/>
        <color theme="1"/>
        <rFont val="Instrument Sans"/>
      </rPr>
      <t>Shandong, China</t>
    </r>
    <r>
      <rPr>
        <sz val="10"/>
        <color theme="1"/>
        <rFont val="Instrument Sans"/>
      </rPr>
      <t xml:space="preserve">
Website:
</t>
    </r>
    <r>
      <rPr>
        <b/>
        <sz val="10"/>
        <color theme="1"/>
        <rFont val="Instrument Sans"/>
      </rPr>
      <t>N/A</t>
    </r>
    <r>
      <rPr>
        <sz val="10"/>
        <color theme="1"/>
        <rFont val="Instrument Sans"/>
      </rPr>
      <t xml:space="preserve">
Wechat:
</t>
    </r>
    <r>
      <rPr>
        <b/>
        <sz val="10"/>
        <color theme="1"/>
        <rFont val="Instrument Sans"/>
      </rPr>
      <t>N/A</t>
    </r>
    <r>
      <rPr>
        <sz val="10"/>
        <color theme="1"/>
        <rFont val="Instrument Sans"/>
      </rPr>
      <t xml:space="preserve">
Phone number:
</t>
    </r>
    <r>
      <rPr>
        <b/>
        <sz val="10"/>
        <color theme="1"/>
        <rFont val="Instrument Sans"/>
        <family val="2"/>
      </rPr>
      <t>13375496928</t>
    </r>
    <phoneticPr fontId="1" type="noConversion"/>
  </si>
  <si>
    <r>
      <t xml:space="preserve">The final price will be determined after the final design and details are confirmed.
</t>
    </r>
    <r>
      <rPr>
        <sz val="10"/>
        <color theme="1"/>
        <rFont val="Instrument Sans"/>
      </rPr>
      <t xml:space="preserve">Trade Term: 
</t>
    </r>
    <r>
      <rPr>
        <b/>
        <sz val="10"/>
        <color theme="1"/>
        <rFont val="Instrument Sans"/>
      </rPr>
      <t xml:space="preserve">EXW
</t>
    </r>
    <r>
      <rPr>
        <sz val="10"/>
        <color theme="1"/>
        <rFont val="Instrument Sans"/>
      </rPr>
      <t>Payment term:</t>
    </r>
    <r>
      <rPr>
        <b/>
        <sz val="10"/>
        <color theme="1"/>
        <rFont val="Instrument Sans"/>
      </rPr>
      <t xml:space="preserve">
Sample &amp; Mold: 
</t>
    </r>
    <r>
      <rPr>
        <sz val="10"/>
        <color theme="1"/>
        <rFont val="Instrument Sans"/>
      </rPr>
      <t>100%</t>
    </r>
    <r>
      <rPr>
        <b/>
        <sz val="10"/>
        <color theme="1"/>
        <rFont val="Instrument Sans"/>
      </rPr>
      <t xml:space="preserve">
Bulk: 
</t>
    </r>
    <r>
      <rPr>
        <sz val="10"/>
        <color theme="1"/>
        <rFont val="Instrument Sans"/>
      </rPr>
      <t>30% deposit + 70% balance before shipment</t>
    </r>
    <r>
      <rPr>
        <b/>
        <sz val="10"/>
        <color theme="1"/>
        <rFont val="Instrument Sans"/>
      </rPr>
      <t xml:space="preserve">
Sample fee:
</t>
    </r>
    <r>
      <rPr>
        <sz val="10"/>
        <color theme="1"/>
        <rFont val="Instrument Sans"/>
      </rPr>
      <t>N/A</t>
    </r>
    <r>
      <rPr>
        <b/>
        <sz val="10"/>
        <color theme="1"/>
        <rFont val="Instrument Sans"/>
      </rPr>
      <t xml:space="preserve">
Sample time:
</t>
    </r>
    <r>
      <rPr>
        <sz val="10"/>
        <color theme="1"/>
        <rFont val="Instrument Sans"/>
      </rPr>
      <t xml:space="preserve">N/A
</t>
    </r>
    <r>
      <rPr>
        <b/>
        <sz val="10"/>
        <color theme="1"/>
        <rFont val="Instrument Sans"/>
      </rPr>
      <t xml:space="preserve">Lead time:
</t>
    </r>
    <r>
      <rPr>
        <sz val="10"/>
        <color theme="1"/>
        <rFont val="Instrument Sans"/>
        <family val="2"/>
      </rPr>
      <t>30 days upon receiving Buyer’s deposit for completion</t>
    </r>
    <r>
      <rPr>
        <b/>
        <sz val="10"/>
        <color theme="1"/>
        <rFont val="Instrument Sans"/>
      </rPr>
      <t xml:space="preserve">
Transportation Cost:
</t>
    </r>
    <r>
      <rPr>
        <sz val="10"/>
        <color theme="1"/>
        <rFont val="Instrument Sans"/>
        <family val="2"/>
      </rPr>
      <t>Shipping charges shall be borne by the Buyer</t>
    </r>
    <r>
      <rPr>
        <b/>
        <sz val="10"/>
        <color theme="1"/>
        <rFont val="Instrument Sans"/>
      </rPr>
      <t xml:space="preserve">
Delivery method:
</t>
    </r>
    <r>
      <rPr>
        <sz val="10"/>
        <color theme="1"/>
        <rFont val="Instrument Sans"/>
        <family val="2"/>
      </rPr>
      <t>Arranged in accordance with the Buyer’s requirements.</t>
    </r>
    <r>
      <rPr>
        <b/>
        <sz val="10"/>
        <color theme="1"/>
        <rFont val="Instrument Sans"/>
      </rPr>
      <t xml:space="preserve">
Packing:
</t>
    </r>
    <r>
      <rPr>
        <sz val="10"/>
        <color theme="1"/>
        <rFont val="Instrument Sans"/>
      </rPr>
      <t>Custom packaging cost shall be confirmed based on final confirmed details.</t>
    </r>
    <phoneticPr fontId="1" type="noConversion"/>
  </si>
  <si>
    <t>Total price (RMB)</t>
    <phoneticPr fontId="1" type="noConversion"/>
  </si>
  <si>
    <t>quote_date</t>
  </si>
  <si>
    <t>purchase_order_no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</si>
</sst>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$$-409]#,##0.0_ ;\-[$$-409]#,##0.0\ "/>
    <numFmt numFmtId="177" formatCode="mm/dd/yyyy"/>
    <numFmt numFmtId="178" formatCode="&quot;$&quot;#,##0.00"/>
    <numFmt numFmtId="180" formatCode="[$¥-804]#,##0.0"/>
  </numFmts>
  <fonts count="25">
    <font>
      <sz val="11"/>
      <color theme="1"/>
      <name val="宋体"/>
      <family val="2"/>
      <charset val="177"/>
      <scheme val="minor"/>
    </font>
    <font>
      <sz val="8"/>
      <name val="宋体"/>
      <family val="2"/>
      <charset val="177"/>
      <scheme val="minor"/>
    </font>
    <font>
      <sz val="10"/>
      <color theme="1"/>
      <name val="Instrument Sans"/>
    </font>
    <font>
      <b/>
      <sz val="10"/>
      <color theme="0"/>
      <name val="Instrument Sans"/>
    </font>
    <font>
      <b/>
      <sz val="11"/>
      <color theme="1"/>
      <name val="Instrument Sans"/>
    </font>
    <font>
      <b/>
      <u/>
      <sz val="11"/>
      <color theme="1"/>
      <name val="Instrument Sans"/>
    </font>
    <font>
      <b/>
      <sz val="10"/>
      <color theme="1"/>
      <name val="Instrument Sans"/>
    </font>
    <font>
      <b/>
      <sz val="11"/>
      <name val="Instrument Sans"/>
    </font>
    <font>
      <b/>
      <sz val="10"/>
      <color rgb="FF000000"/>
      <name val="Instrument Sans"/>
    </font>
    <font>
      <sz val="10"/>
      <color rgb="FF000000"/>
      <name val="Instrument Sans"/>
    </font>
    <font>
      <sz val="22"/>
      <color rgb="FF999999"/>
      <name val="Instrument Sans"/>
    </font>
    <font>
      <b/>
      <sz val="14"/>
      <color rgb="FF000000"/>
      <name val="Instrument Sans"/>
    </font>
    <font>
      <b/>
      <sz val="12"/>
      <color theme="1"/>
      <name val="Instrument Sans"/>
    </font>
    <font>
      <b/>
      <sz val="14"/>
      <color rgb="FFFFFFFF"/>
      <name val="Instrument Sans"/>
    </font>
    <font>
      <b/>
      <sz val="9"/>
      <color theme="1"/>
      <name val="Instrument Sans"/>
    </font>
    <font>
      <sz val="9"/>
      <color theme="1"/>
      <name val="Instrument Sans"/>
    </font>
    <font>
      <b/>
      <sz val="12"/>
      <color rgb="FF178ECE"/>
      <name val="Instrument Sans"/>
    </font>
    <font>
      <b/>
      <sz val="14"/>
      <color rgb="FF178ECE"/>
      <name val="Instrument Sans"/>
    </font>
    <font>
      <b/>
      <sz val="22"/>
      <color rgb="FF0F2269"/>
      <name val="Instrument Sans"/>
    </font>
    <font>
      <b/>
      <sz val="200"/>
      <color rgb="FF0F2269"/>
      <name val="Instrument Sans"/>
    </font>
    <font>
      <sz val="200"/>
      <color rgb="FF0F2269"/>
      <name val="Instrument Sans"/>
    </font>
    <font>
      <b/>
      <sz val="10"/>
      <color theme="1"/>
      <name val="Instrument Sans"/>
      <family val="2"/>
    </font>
    <font>
      <sz val="10"/>
      <color theme="1"/>
      <name val="Instrument Sans"/>
      <family val="2"/>
    </font>
    <font>
      <sz val="9"/>
      <name val="宋体"/>
      <family val="3"/>
      <charset val="134"/>
      <scheme val="minor"/>
    </font>
    <font>
      <sz val="10"/>
      <color theme="1"/>
      <name val="Arial Unicode MS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12110E"/>
      </patternFill>
    </fill>
    <fill>
      <patternFill patternType="solid">
        <fgColor rgb="FF0F2269"/>
        <bgColor indexed="64"/>
      </patternFill>
    </fill>
    <fill>
      <patternFill patternType="solid">
        <fgColor theme="0"/>
        <bgColor rgb="FFEFEFEF"/>
      </patternFill>
    </fill>
  </fills>
  <borders count="6">
    <border>
      <left/>
      <right/>
      <top/>
      <bottom/>
      <diagonal/>
    </border>
    <border>
      <left/>
      <right/>
      <top style="thick">
        <color theme="2" tint="-0.2499465926084170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2" tint="-0.24994659260841701"/>
      </left>
      <right/>
      <top/>
      <bottom style="thick">
        <color theme="2" tint="-0.24994659260841701"/>
      </bottom>
      <diagonal/>
    </border>
    <border>
      <left/>
      <right style="thick">
        <color theme="2" tint="-0.24994659260841701"/>
      </right>
      <top/>
      <bottom style="thick">
        <color theme="2" tint="-0.24994659260841701"/>
      </bottom>
      <diagonal/>
    </border>
    <border>
      <left/>
      <right/>
      <top/>
      <bottom style="thick">
        <color theme="2" tint="-0.2499465926084170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5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 readingOrder="1"/>
    </xf>
    <xf numFmtId="0" fontId="6" fillId="2" borderId="0" xfId="0" applyFont="1" applyFill="1" applyAlignment="1">
      <alignment horizontal="right" vertical="center" wrapText="1" readingOrder="1"/>
    </xf>
    <xf numFmtId="0" fontId="0" fillId="0" borderId="0" xfId="0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horizontal="right" vertical="center" wrapText="1"/>
    </xf>
    <xf numFmtId="0" fontId="10" fillId="0" borderId="0" xfId="0" applyFont="1" applyAlignment="1">
      <alignment horizontal="right" vertical="center" wrapText="1"/>
    </xf>
    <xf numFmtId="49" fontId="13" fillId="4" borderId="0" xfId="0" applyNumberFormat="1" applyFont="1" applyFill="1" applyAlignment="1">
      <alignment horizontal="center" vertical="center" wrapText="1"/>
    </xf>
    <xf numFmtId="178" fontId="13" fillId="4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 readingOrder="1"/>
    </xf>
    <xf numFmtId="0" fontId="19" fillId="2" borderId="0" xfId="0" applyFont="1" applyFill="1" applyAlignment="1">
      <alignment horizontal="center" vertical="center" wrapText="1" shrinkToFit="1"/>
    </xf>
    <xf numFmtId="0" fontId="20" fillId="2" borderId="0" xfId="0" applyFont="1" applyFill="1" applyAlignment="1">
      <alignment horizontal="center" vertical="center" wrapText="1" shrinkToFit="1"/>
    </xf>
    <xf numFmtId="177" fontId="10" fillId="0" borderId="0" xfId="0" applyNumberFormat="1" applyFont="1" applyAlignment="1">
      <alignment horizontal="left" wrapText="1"/>
    </xf>
    <xf numFmtId="0" fontId="0" fillId="0" borderId="0" xfId="0" applyAlignment="1">
      <alignment wrapText="1"/>
    </xf>
    <xf numFmtId="0" fontId="15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7" fillId="2" borderId="0" xfId="0" quotePrefix="1" applyFont="1" applyFill="1" applyAlignment="1">
      <alignment horizontal="left" vertical="center" wrapText="1"/>
    </xf>
    <xf numFmtId="49" fontId="6" fillId="4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center" wrapText="1"/>
    </xf>
    <xf numFmtId="49" fontId="11" fillId="3" borderId="5" xfId="0" applyNumberFormat="1" applyFont="1" applyFill="1" applyBorder="1" applyAlignment="1">
      <alignment horizontal="center" vertical="center" wrapText="1"/>
    </xf>
    <xf numFmtId="49" fontId="11" fillId="3" borderId="3" xfId="0" applyNumberFormat="1" applyFont="1" applyFill="1" applyBorder="1" applyAlignment="1">
      <alignment horizontal="center" vertical="center" wrapText="1"/>
    </xf>
    <xf numFmtId="178" fontId="17" fillId="3" borderId="4" xfId="0" applyNumberFormat="1" applyFont="1" applyFill="1" applyBorder="1" applyAlignment="1">
      <alignment horizontal="center" vertical="center" wrapText="1"/>
    </xf>
    <xf numFmtId="178" fontId="17" fillId="3" borderId="0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right" wrapText="1"/>
    </xf>
    <xf numFmtId="0" fontId="18" fillId="0" borderId="2" xfId="0" applyFont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3" fontId="12" fillId="2" borderId="2" xfId="0" applyNumberFormat="1" applyFont="1" applyFill="1" applyBorder="1" applyAlignment="1">
      <alignment horizontal="center" vertical="center" wrapText="1"/>
    </xf>
    <xf numFmtId="180" fontId="16" fillId="0" borderId="2" xfId="0" applyNumberFormat="1" applyFont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 wrapText="1"/>
    </xf>
    <xf numFmtId="0" fontId="24" fillId="0" borderId="0" xfId="0" applyFont="1" applyAlignment="1">
      <alignment shrinkToFit="1"/>
    </xf>
    <xf numFmtId="0" fontId="0" fillId="0" borderId="0" xfId="0" applyAlignment="1">
      <alignment shrinkToFit="1"/>
    </xf>
    <xf numFmtId="0" fontId="0" fillId="0" borderId="2" xfId="0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176" fontId="1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178ECE"/>
      <color rgb="FF0F2269"/>
      <color rgb="FF999999"/>
      <color rgb="FFDADADA"/>
      <color rgb="FF7B79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11902</xdr:colOff>
      <xdr:row>17</xdr:row>
      <xdr:rowOff>198247</xdr:rowOff>
    </xdr:from>
    <xdr:to>
      <xdr:col>0</xdr:col>
      <xdr:colOff>1632822</xdr:colOff>
      <xdr:row>25</xdr:row>
      <xdr:rowOff>97745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BA23D923-7AB5-1348-A856-A820D5F74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2" y="10324380"/>
          <a:ext cx="1681199" cy="1485523"/>
        </a:xfrm>
        <a:prstGeom prst="rect">
          <a:avLst/>
        </a:prstGeom>
      </xdr:spPr>
    </xdr:pic>
    <xdr:clientData/>
  </xdr:twoCellAnchor>
  <xdr:oneCellAnchor>
    <xdr:from>
      <xdr:col>0</xdr:col>
      <xdr:colOff>63500</xdr:colOff>
      <xdr:row>10</xdr:row>
      <xdr:rowOff>0</xdr:rowOff>
    </xdr:from>
    <xdr:ext cx="2476500" cy="723900"/>
    <xdr:grpSp>
      <xdr:nvGrpSpPr>
        <xdr:cNvPr id="3" name="Shape 2" title="Drawing">
          <a:extLst>
            <a:ext uri="{FF2B5EF4-FFF2-40B4-BE49-F238E27FC236}">
              <a16:creationId xmlns:a16="http://schemas.microsoft.com/office/drawing/2014/main" id="{2336800E-4EDF-9141-B85E-D009D821C5A0}"/>
            </a:ext>
          </a:extLst>
        </xdr:cNvPr>
        <xdr:cNvGrpSpPr/>
      </xdr:nvGrpSpPr>
      <xdr:grpSpPr>
        <a:xfrm>
          <a:off x="62547" y="10428514"/>
          <a:ext cx="2476500" cy="723900"/>
          <a:chOff x="590425" y="570400"/>
          <a:chExt cx="8596099" cy="2461750"/>
        </a:xfrm>
      </xdr:grpSpPr>
      <xdr:pic>
        <xdr:nvPicPr>
          <xdr:cNvPr id="4" name="Shape 3">
            <a:extLst>
              <a:ext uri="{FF2B5EF4-FFF2-40B4-BE49-F238E27FC236}">
                <a16:creationId xmlns:a16="http://schemas.microsoft.com/office/drawing/2014/main" id="{BB2467E9-0190-8BCA-DDFB-41EE9E9E3613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2">
            <a:alphaModFix/>
          </a:blip>
          <a:srcRect l="4630" t="12643" r="4394" b="12896"/>
          <a:stretch/>
        </xdr:blipFill>
        <xdr:spPr>
          <a:xfrm>
            <a:off x="590425" y="570400"/>
            <a:ext cx="8596099" cy="246175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1025" name="AutoShape 1" descr="Image">
          <a:extLst>
            <a:ext uri="{FF2B5EF4-FFF2-40B4-BE49-F238E27FC236}">
              <a16:creationId xmlns:a16="http://schemas.microsoft.com/office/drawing/2014/main" id="{5107F510-CD5D-10F8-194E-6252A6B7B833}"/>
            </a:ext>
          </a:extLst>
        </xdr:cNvPr>
        <xdr:cNvSpPr>
          <a:spLocks noChangeAspect="1" noChangeArrowheads="1"/>
        </xdr:cNvSpPr>
      </xdr:nvSpPr>
      <xdr:spPr bwMode="auto">
        <a:xfrm>
          <a:off x="928688" y="36337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8"/>
  <sheetViews>
    <sheetView tabSelected="1" topLeftCell="A5" zoomScale="70" zoomScaleNormal="70" workbookViewId="0">
      <selection activeCell="L7" sqref="L7"/>
    </sheetView>
  </sheetViews>
  <sheetFormatPr defaultColWidth="8.6640625" defaultRowHeight="13.5"/>
  <cols>
    <col min="1" max="1" width="53.265625" style="4" customWidth="1"/>
    <col min="2" max="2" width="22" style="4" customWidth="1"/>
    <col min="3" max="3" width="20.46484375" style="4" customWidth="1"/>
    <col min="4" max="4" width="22.33203125" style="4" customWidth="1"/>
    <col min="5" max="5" width="13.46484375" style="4" customWidth="1"/>
    <col min="6" max="6" width="10.46484375" style="4" customWidth="1"/>
    <col min="7" max="8" width="20.46484375" style="4" customWidth="1"/>
    <col min="9" max="9" width="22.33203125" style="4" customWidth="1"/>
    <col min="10" max="10" width="35.1328125" style="4" customWidth="1"/>
    <col min="11" max="16384" width="8.6640625" style="4"/>
  </cols>
  <sheetData>
    <row r="1" spans="1:10" ht="22.25" customHeight="1">
      <c r="A1" s="15" t="s">
        <v>0</v>
      </c>
      <c r="B1" s="15"/>
      <c r="C1" s="15"/>
      <c r="D1" s="15"/>
      <c r="E1" s="2"/>
      <c r="F1" s="2"/>
      <c r="G1" s="2"/>
      <c r="H1" s="2"/>
      <c r="I1" s="2"/>
      <c r="J1" s="3" t="s">
        <v>1</v>
      </c>
    </row>
    <row r="2" spans="1:10" ht="155" customHeight="1">
      <c r="A2" s="16" t="s">
        <v>2</v>
      </c>
      <c r="B2" s="16"/>
      <c r="C2" s="17"/>
      <c r="D2" s="17"/>
      <c r="E2" s="17"/>
      <c r="F2" s="17"/>
      <c r="G2" s="17"/>
      <c r="H2" s="17"/>
      <c r="I2" s="17"/>
      <c r="J2" s="17"/>
    </row>
    <row r="3" spans="1:10" ht="21.75" customHeight="1">
      <c r="A3" s="5" t="s">
        <v>3</v>
      </c>
      <c r="B3" s="5"/>
      <c r="C3" s="6"/>
      <c r="D3" s="7"/>
      <c r="E3" s="7"/>
      <c r="F3" s="7"/>
      <c r="G3" s="7"/>
      <c r="H3" s="7"/>
      <c r="I3" s="7"/>
      <c r="J3" s="8" t="s">
        <v>2</v>
      </c>
    </row>
    <row r="4" spans="1:10" ht="33" customHeight="1">
      <c r="A4" s="18">
        <v>45691</v>
      </c>
      <c r="B4" s="18"/>
      <c r="C4" s="19"/>
      <c r="D4" s="7"/>
      <c r="E4" s="7"/>
      <c r="F4" s="7"/>
      <c r="G4" s="7"/>
      <c r="H4" s="7"/>
      <c r="I4" s="7"/>
      <c r="J4" s="9" t="s">
        <v>4</v>
      </c>
    </row>
    <row r="5" spans="1:10" ht="22.5" customHeight="1">
      <c r="A5" s="13"/>
      <c r="B5" s="13"/>
      <c r="C5" s="14"/>
      <c r="D5" s="14"/>
      <c r="E5" s="14"/>
      <c r="F5" s="14"/>
      <c r="G5" s="14"/>
      <c r="H5" s="14"/>
      <c r="I5" s="14"/>
      <c r="J5" s="14"/>
    </row>
    <row r="6" spans="1:10" ht="32" customHeight="1">
      <c r="A6" s="1" t="s">
        <v>16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25</v>
      </c>
      <c r="I6" s="1" t="s">
        <v>11</v>
      </c>
      <c r="J6" s="1" t="s">
        <v>12</v>
      </c>
    </row>
    <row r="7" spans="1:10" ht="397.5" customHeight="1">
      <c r="A7" s="30" t="s">
        <v>19</v>
      </c>
      <c r="B7" s="38" t="e" vm="1">
        <v>#VALUE!</v>
      </c>
      <c r="C7" s="31" t="s">
        <v>17</v>
      </c>
      <c r="D7" s="39" t="s">
        <v>21</v>
      </c>
      <c r="E7" s="32">
        <v>30</v>
      </c>
      <c r="F7" s="33">
        <v>10000</v>
      </c>
      <c r="G7" s="34">
        <v>5.3</v>
      </c>
      <c r="H7" s="40">
        <f>G7*F7</f>
        <v>53000</v>
      </c>
      <c r="I7" s="35" t="s">
        <v>23</v>
      </c>
      <c r="J7" s="41" t="s">
        <v>24</v>
      </c>
    </row>
    <row r="8" spans="1:10" ht="69.400000000000006" customHeight="1">
      <c r="A8" s="30"/>
      <c r="B8" s="38"/>
      <c r="C8" s="31" t="s">
        <v>22</v>
      </c>
      <c r="D8" s="39"/>
      <c r="E8" s="32" t="s">
        <v>20</v>
      </c>
      <c r="F8" s="33">
        <v>1</v>
      </c>
      <c r="G8" s="34">
        <v>14000</v>
      </c>
      <c r="H8" s="40">
        <f>F8*G8</f>
        <v>14000</v>
      </c>
      <c r="I8" s="35"/>
      <c r="J8" s="41" t="s">
        <v>18</v>
      </c>
    </row>
    <row r="9" spans="1:10" ht="30" customHeight="1" thickBot="1">
      <c r="A9" s="26" t="s">
        <v>13</v>
      </c>
      <c r="B9" s="25"/>
      <c r="C9" s="25"/>
      <c r="D9" s="25"/>
      <c r="E9" s="25"/>
      <c r="F9" s="25"/>
      <c r="G9" s="25"/>
      <c r="H9" s="27">
        <f>SUM(H7:H8)</f>
        <v>67000</v>
      </c>
      <c r="I9" s="28"/>
      <c r="J9" s="29"/>
    </row>
    <row r="10" spans="1:10" ht="37.25" customHeight="1" thickTop="1">
      <c r="A10" s="23" t="s">
        <v>14</v>
      </c>
      <c r="B10" s="23"/>
      <c r="C10" s="10"/>
      <c r="D10" s="10"/>
      <c r="E10" s="10"/>
      <c r="F10" s="10"/>
      <c r="G10" s="10"/>
      <c r="H10" s="11"/>
      <c r="I10" s="11"/>
      <c r="J10" s="12"/>
    </row>
    <row r="11" spans="1:10" ht="13.9">
      <c r="A11" s="22"/>
      <c r="B11" s="22"/>
      <c r="C11" s="22"/>
      <c r="D11" s="22"/>
      <c r="E11" s="22"/>
    </row>
    <row r="12" spans="1:10">
      <c r="A12" s="24"/>
      <c r="B12" s="24"/>
      <c r="C12" s="24"/>
      <c r="D12" s="24"/>
      <c r="E12" s="24"/>
    </row>
    <row r="13" spans="1:10">
      <c r="A13" s="24"/>
      <c r="B13" s="24"/>
      <c r="C13" s="24"/>
      <c r="D13" s="24"/>
      <c r="E13" s="24"/>
    </row>
    <row r="14" spans="1:10">
      <c r="A14" s="24"/>
      <c r="B14" s="24"/>
      <c r="C14" s="24"/>
      <c r="D14" s="24"/>
      <c r="E14" s="24"/>
    </row>
    <row r="15" spans="1:10" ht="23" customHeight="1">
      <c r="A15" s="20" t="s">
        <v>15</v>
      </c>
      <c r="B15" s="21"/>
      <c r="C15" s="21"/>
      <c r="D15" s="21"/>
      <c r="E15" s="21"/>
      <c r="F15" s="21"/>
    </row>
    <row r="16" spans="1:10" ht="23" customHeight="1">
      <c r="A16" s="21"/>
      <c r="B16" s="21"/>
      <c r="C16" s="21"/>
      <c r="D16" s="21"/>
      <c r="E16" s="21"/>
      <c r="F16" s="21"/>
    </row>
    <row r="17" spans="1:6" ht="23" customHeight="1">
      <c r="A17" s="21"/>
      <c r="B17" s="21"/>
      <c r="C17" s="21"/>
      <c r="D17" s="21"/>
      <c r="E17" s="21"/>
      <c r="F17" s="21"/>
    </row>
    <row r="18" spans="1:6" ht="23" customHeight="1"/>
  </sheetData>
  <mergeCells count="11">
    <mergeCell ref="A5:J5"/>
    <mergeCell ref="A1:D1"/>
    <mergeCell ref="A2:J2"/>
    <mergeCell ref="A4:C4"/>
    <mergeCell ref="A15:F17"/>
    <mergeCell ref="A11:E11"/>
    <mergeCell ref="A9:G9"/>
    <mergeCell ref="A10:B10"/>
    <mergeCell ref="A12:E14"/>
    <mergeCell ref="A7:A8"/>
    <mergeCell ref="B7:B8"/>
  </mergeCells>
  <phoneticPr fontId="1" type="noConversion"/>
  <pageMargins left="0.7" right="0.7" top="0.75" bottom="0.75" header="0.3" footer="0.3"/>
  <pageSetup paperSize="9" scale="3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B8AAE-42BA-4EE9-B968-43B3B83BC1EB}">
  <dimension ref="A1:B1"/>
  <sheetViews>
    <sheetView workbookViewId="0">
      <selection activeCell="M10" sqref="M10"/>
    </sheetView>
  </sheetViews>
  <sheetFormatPr defaultRowHeight="13.5"/>
  <cols>
    <col min="1" max="1" width="10.1328125" style="37" bestFit="1" customWidth="1"/>
    <col min="2" max="2" width="17.33203125" style="37" bestFit="1" customWidth="1"/>
    <col min="3" max="16384" width="9.06640625" style="37"/>
  </cols>
  <sheetData>
    <row r="1" spans="1:2" ht="13.9">
      <c r="A1" s="36" t="s">
        <v>26</v>
      </c>
      <c r="B1" s="36" t="s">
        <v>27</v>
      </c>
    </row>
  </sheetData>
  <phoneticPr fontId="2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FF92D403E7554D9BB572B238F1A8DC" ma:contentTypeVersion="14" ma:contentTypeDescription="Create a new document." ma:contentTypeScope="" ma:versionID="f9830fa50efba6b7bf750aec383e7c50">
  <xsd:schema xmlns:xsd="http://www.w3.org/2001/XMLSchema" xmlns:xs="http://www.w3.org/2001/XMLSchema" xmlns:p="http://schemas.microsoft.com/office/2006/metadata/properties" xmlns:ns2="272f33d8-96db-4594-8618-b9befb8142b4" xmlns:ns3="73218c9b-257e-4f33-a9de-77c49c84f85b" targetNamespace="http://schemas.microsoft.com/office/2006/metadata/properties" ma:root="true" ma:fieldsID="b5be3e7ff03557cbf4b884ebb4b6ab40" ns2:_="" ns3:_="">
    <xsd:import namespace="272f33d8-96db-4594-8618-b9befb8142b4"/>
    <xsd:import namespace="73218c9b-257e-4f33-a9de-77c49c84f8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2f33d8-96db-4594-8618-b9befb8142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d134808-04f0-4c95-9f16-8ccb4f8268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218c9b-257e-4f33-a9de-77c49c84f85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ae25022-60f4-41f8-92fe-26d5ff8a4438}" ma:internalName="TaxCatchAll" ma:showField="CatchAllData" ma:web="73218c9b-257e-4f33-a9de-77c49c84f8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218c9b-257e-4f33-a9de-77c49c84f85b" xsi:nil="true"/>
    <lcf76f155ced4ddcb4097134ff3c332f xmlns="272f33d8-96db-4594-8618-b9befb8142b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5F7992-7B25-4D7D-925E-40F4757B93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754B77A-C9CA-461D-BE18-A120CD0566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2f33d8-96db-4594-8618-b9befb8142b4"/>
    <ds:schemaRef ds:uri="73218c9b-257e-4f33-a9de-77c49c84f8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60277ED-33CA-4F12-A0AD-399FE36B7A64}">
  <ds:schemaRefs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purl.org/dc/terms/"/>
    <ds:schemaRef ds:uri="http://www.w3.org/XML/1998/namespace"/>
    <ds:schemaRef ds:uri="http://purl.org/dc/elements/1.1/"/>
    <ds:schemaRef ds:uri="http://schemas.microsoft.com/office/infopath/2007/PartnerControls"/>
    <ds:schemaRef ds:uri="73218c9b-257e-4f33-a9de-77c49c84f85b"/>
    <ds:schemaRef ds:uri="272f33d8-96db-4594-8618-b9befb8142b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Parsed_OCR_Data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dechao Liu</cp:lastModifiedBy>
  <cp:revision/>
  <cp:lastPrinted>2026-06-17T11:13:04Z</cp:lastPrinted>
  <dcterms:created xsi:type="dcterms:W3CDTF">2019-05-30T04:38:05Z</dcterms:created>
  <dcterms:modified xsi:type="dcterms:W3CDTF">2026-06-17T19:37:50Z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0x010100FBFF92D403E7554D9BB572B238F1A8DC</vt:lpwstr>
  </property>
  <property fmtid="{D5CDD505-2E9C-101B-9397-08002B2CF9AE}" pid="3" name="MediaServiceImageTags">
    <vt:lpwstr/>
  </property>
</Properties>
</file>