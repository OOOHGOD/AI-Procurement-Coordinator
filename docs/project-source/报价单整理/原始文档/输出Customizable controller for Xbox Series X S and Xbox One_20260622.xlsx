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uresware\Workspace\AI Procurement Coordinator\报价单整理\原始文档\"/>
    </mc:Choice>
  </mc:AlternateContent>
  <xr:revisionPtr revIDLastSave="0" documentId="13_ncr:1_{8542A80D-5698-4EF2-A514-97F025A8646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Parsed_OCR_Data" sheetId="2" r:id="rId2"/>
    <sheet name="Field_Map" sheetId="3" r:id="rId3"/>
  </sheets>
  <definedNames>
    <definedName name="_xlnm._FilterDatabase" localSheetId="2" hidden="1">Field_Map!$A$1:$J$23</definedName>
    <definedName name="_xlnm._FilterDatabase" localSheetId="1" hidden="1">Parsed_OCR_Data!$A$1:$J$39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G18" i="3"/>
  <c r="G11" i="3"/>
  <c r="H9" i="1"/>
  <c r="H8" i="1"/>
  <c r="H7" i="1"/>
</calcChain>
</file>

<file path=xl/sharedStrings.xml><?xml version="1.0" encoding="utf-8"?>
<sst xmlns="http://schemas.openxmlformats.org/spreadsheetml/2006/main" count="542" uniqueCount="221">
  <si>
    <t>TELOP TRADING CO., LTD</t>
  </si>
  <si>
    <t>Client name</t>
  </si>
  <si>
    <t>QUOTATION</t>
  </si>
  <si>
    <t>QUOTATION DATE</t>
  </si>
  <si>
    <t>2026-06-22</t>
  </si>
  <si>
    <t>#123456</t>
  </si>
  <si>
    <t>Supplier
Name/Code</t>
  </si>
  <si>
    <t>Image Reference</t>
  </si>
  <si>
    <t>Description</t>
  </si>
  <si>
    <t>Specifications</t>
  </si>
  <si>
    <t>Production days</t>
  </si>
  <si>
    <t>MOQ/QTY</t>
  </si>
  <si>
    <t>Unit price (RMB)</t>
  </si>
  <si>
    <t>Total price (RMB)</t>
  </si>
  <si>
    <t>Supplier details</t>
  </si>
  <si>
    <t>Remarks</t>
  </si>
  <si>
    <t>LDC 居用品有限公司</t>
  </si>
  <si>
    <t>Customizable controller for Xbox Series X/S and Xbox One</t>
  </si>
  <si>
    <t>Size:
N/A
Materials:
N/A
Colors:
N/A
Logo:
N/A
Package:
N/A
Other:
Shape and size according to customer sample</t>
  </si>
  <si>
    <t>Name:
LDC 居用品有限公司
Contact:
刘先生
Location:
N/A
Website:
N/A
Wechat:
N/A
Phone number:
12345678901</t>
  </si>
  <si>
    <t>The final price will be determined after the final design and details are confirmed.
Trade Term:
N/A
Payment term:
Sample &amp; Mold:
N/A
Bulk:
60% deposit before production, balance after inspection and before shipment
Sample fee:
N/A
Sample time:
N/A
Lead time:
90 days upon receiving Buyer's deposit for completion
Transportation Cost:
Supplier bears
Delivery method:
According to buyer's requirements
Packing:
N/A</t>
  </si>
  <si>
    <t>Mold cost</t>
  </si>
  <si>
    <t>N/A</t>
  </si>
  <si>
    <t>Production quantity reaches 100,000 pieces, refund mold fee</t>
  </si>
  <si>
    <t>Summary</t>
  </si>
  <si>
    <t>Issued by Hod</t>
  </si>
  <si>
    <t>Unit 04-05, 16/F, The Broadway, 54-62 Lockhart Road, Wanchai, Hong-Kong
Tel +8613113398735 
E-mail info@teloptrading.com 
Website www.teloptrading.com</t>
  </si>
  <si>
    <t>field_key</t>
  </si>
  <si>
    <t>field_group</t>
  </si>
  <si>
    <t>raw_ocr_value</t>
  </si>
  <si>
    <t>normalized_value</t>
  </si>
  <si>
    <t>data_type</t>
  </si>
  <si>
    <t>required</t>
  </si>
  <si>
    <t>default_if_missing</t>
  </si>
  <si>
    <t>confidence</t>
  </si>
  <si>
    <t>source_page</t>
  </si>
  <si>
    <t>source_note</t>
  </si>
  <si>
    <t>source_file</t>
  </si>
  <si>
    <t>source</t>
  </si>
  <si>
    <t>test - Copy.pdf</t>
  </si>
  <si>
    <t>text</t>
  </si>
  <si>
    <t>Y</t>
  </si>
  <si>
    <t>PDF filename</t>
  </si>
  <si>
    <t>quote_date</t>
  </si>
  <si>
    <t>header</t>
  </si>
  <si>
    <t>date</t>
  </si>
  <si>
    <t>购销日期</t>
  </si>
  <si>
    <t>order_no</t>
  </si>
  <si>
    <t>123456</t>
  </si>
  <si>
    <t>采购单号</t>
  </si>
  <si>
    <t>supplier_name</t>
  </si>
  <si>
    <t>supplier</t>
  </si>
  <si>
    <t>下单号</t>
  </si>
  <si>
    <t>supplier_contact</t>
  </si>
  <si>
    <t>刘先生</t>
  </si>
  <si>
    <t>N</t>
  </si>
  <si>
    <t>甲方</t>
  </si>
  <si>
    <t>supplier_phone</t>
  </si>
  <si>
    <t>12345678901</t>
  </si>
  <si>
    <t>乙方</t>
  </si>
  <si>
    <t>supplier_location</t>
  </si>
  <si>
    <t>供应商联系人</t>
  </si>
  <si>
    <t>supplier_website</t>
  </si>
  <si>
    <t>供应商电话</t>
  </si>
  <si>
    <t>supplier_wechat</t>
  </si>
  <si>
    <t>Inferred from supplier city name 临沂</t>
  </si>
  <si>
    <t>product_name_en</t>
  </si>
  <si>
    <t>product</t>
  </si>
  <si>
    <t>Missing in PDF</t>
  </si>
  <si>
    <t>size</t>
  </si>
  <si>
    <t>spec</t>
  </si>
  <si>
    <t>materials</t>
  </si>
  <si>
    <t>Inserted into Sheet1!B7</t>
  </si>
  <si>
    <t>colors</t>
  </si>
  <si>
    <t>Image-recognized English product name</t>
  </si>
  <si>
    <t>logo</t>
  </si>
  <si>
    <t>Product-name cell is blank in PDF table</t>
  </si>
  <si>
    <t>package</t>
  </si>
  <si>
    <t>Line item category</t>
  </si>
  <si>
    <t>other</t>
  </si>
  <si>
    <t>Shape and size according to customer sample</t>
  </si>
  <si>
    <t>From 规格型号</t>
  </si>
  <si>
    <t>qty</t>
  </si>
  <si>
    <t>line_item</t>
  </si>
  <si>
    <t>number</t>
  </si>
  <si>
    <t>Translated from 规格型号</t>
  </si>
  <si>
    <t>unit_price_rmb</t>
  </si>
  <si>
    <t>currency_rmb</t>
  </si>
  <si>
    <t>Inferred from product image</t>
  </si>
  <si>
    <t>product_amount_rmb</t>
  </si>
  <si>
    <t>mold_fee_rmb</t>
  </si>
  <si>
    <t>fee</t>
  </si>
  <si>
    <t>mold_refund_condition</t>
  </si>
  <si>
    <t>Translated from PDF remark</t>
  </si>
  <si>
    <t>total_rmb</t>
  </si>
  <si>
    <t>summary</t>
  </si>
  <si>
    <t>Unit 个 normalized as pcs</t>
  </si>
  <si>
    <t>trade_term</t>
  </si>
  <si>
    <t>terms</t>
  </si>
  <si>
    <t>数量</t>
  </si>
  <si>
    <t>payment_sample_mold</t>
  </si>
  <si>
    <t>单价（元）</t>
  </si>
  <si>
    <t>payment_bulk</t>
  </si>
  <si>
    <t>60% deposit before production, balance after inspection and before shipment</t>
  </si>
  <si>
    <t>总金额</t>
  </si>
  <si>
    <t>sample_fee</t>
  </si>
  <si>
    <t>模具费</t>
  </si>
  <si>
    <t>sample_time</t>
  </si>
  <si>
    <t>Translated from mold-fee remark</t>
  </si>
  <si>
    <t>lead_time_days</t>
  </si>
  <si>
    <t>90</t>
  </si>
  <si>
    <t>合计小写</t>
  </si>
  <si>
    <t>transportation_cost</t>
  </si>
  <si>
    <t>Supplier bears</t>
  </si>
  <si>
    <t>合计人民币大写</t>
  </si>
  <si>
    <t>delivery_method</t>
  </si>
  <si>
    <t>According to buyer's requirements</t>
  </si>
  <si>
    <t>packing</t>
  </si>
  <si>
    <t>30%预付款生产，生产完成甲方验货合格后支付尾款后发货 。</t>
  </si>
  <si>
    <t>30% deposit before production; balance before shipment after buyer inspection approval.</t>
  </si>
  <si>
    <t>Translated from 结算方式</t>
  </si>
  <si>
    <t>30</t>
  </si>
  <si>
    <t>交货期</t>
  </si>
  <si>
    <t>甲方公司承担</t>
  </si>
  <si>
    <t>Shipping charges shall be borne by the Buyer</t>
  </si>
  <si>
    <t>Translated from 运输费用</t>
  </si>
  <si>
    <t>按照甲方要求</t>
  </si>
  <si>
    <t>Arranged in accordance with the Buyer's requirements</t>
  </si>
  <si>
    <t>Translated from 交货方式</t>
  </si>
  <si>
    <t>map_key</t>
  </si>
  <si>
    <t>source_field_keys</t>
  </si>
  <si>
    <t>target_sheet</t>
  </si>
  <si>
    <t>target_cell</t>
  </si>
  <si>
    <t>target_mode</t>
  </si>
  <si>
    <t>transform_or_format_rule</t>
  </si>
  <si>
    <t>auto_append_if_extra</t>
  </si>
  <si>
    <t>notes</t>
  </si>
  <si>
    <t>Sheet1</t>
  </si>
  <si>
    <t>A4</t>
  </si>
  <si>
    <t>VALUE</t>
  </si>
  <si>
    <t>Write normalized ISO date; preserve date format.</t>
  </si>
  <si>
    <t>J4</t>
  </si>
  <si>
    <t>Prefix with # only if the target template requires it.</t>
  </si>
  <si>
    <t>supplier_name_or_code</t>
  </si>
  <si>
    <t>A7</t>
  </si>
  <si>
    <t>If supplier code is unavailable, use supplier_name.</t>
  </si>
  <si>
    <t>product_image</t>
  </si>
  <si>
    <t>image</t>
  </si>
  <si>
    <t>B7</t>
  </si>
  <si>
    <t>IMAGE</t>
  </si>
  <si>
    <t>Extract embedded PDF image or crop product region; insert image anchored at B7.</t>
  </si>
  <si>
    <t>If no image object exists, crop from PDF table image area; if still unavailable, write N/A.</t>
  </si>
  <si>
    <t>C7</t>
  </si>
  <si>
    <t>Prefer vision-classified English object name; fallback to translated product/spec text.</t>
  </si>
  <si>
    <t>For this PDF, image is classified as Wooden hair brush.</t>
  </si>
  <si>
    <t>specifications_block</t>
  </si>
  <si>
    <t>size|materials|colors|logo|package|other</t>
  </si>
  <si>
    <t>D7</t>
  </si>
  <si>
    <t>COMPOSITE</t>
  </si>
  <si>
    <t>Format exactly as Label: newline Value blocks in order: Size, Materials, Colors, Logo, Package, Other.</t>
  </si>
  <si>
    <t>N/A per missing subfield</t>
  </si>
  <si>
    <t>Any extra field with field_group=spec must be auto-appended before Other unless Field_Map already defines a target.</t>
  </si>
  <si>
    <t>production_days</t>
  </si>
  <si>
    <t>E7</t>
  </si>
  <si>
    <t>Use numeric days only when available.</t>
  </si>
  <si>
    <t>F7</t>
  </si>
  <si>
    <t>Quantity from product row.</t>
  </si>
  <si>
    <t>G7</t>
  </si>
  <si>
    <t>RMB unit price from product row.</t>
  </si>
  <si>
    <t>product_total_rmb</t>
  </si>
  <si>
    <t>qty|unit_price_rmb</t>
  </si>
  <si>
    <t>H7</t>
  </si>
  <si>
    <t>FORMULA</t>
  </si>
  <si>
    <t>supplier_details_block</t>
  </si>
  <si>
    <t>supplier_name|supplier_contact|supplier_location|supplier_website|supplier_wechat|supplier_phone</t>
  </si>
  <si>
    <t>I7</t>
  </si>
  <si>
    <t>Format exactly as Name, Contact, Location, Website, Wechat, Phone number. Missing fields become N/A.</t>
  </si>
  <si>
    <t>Any extra supplier field from OCR must be appended as Label/Value below Phone number.</t>
  </si>
  <si>
    <t>remarks_terms_block</t>
  </si>
  <si>
    <t>trade_term|payment_sample_mold|payment_bulk|sample_fee|sample_time|lead_time_days|transportation_cost|delivery_method|packing</t>
  </si>
  <si>
    <t>J7</t>
  </si>
  <si>
    <t>Keep original wording style. Missing terms become N/A. Convert lead_time_days into full sentence.</t>
  </si>
  <si>
    <t>Any extra commercial term field from OCR must be appended as a new label/value block.</t>
  </si>
  <si>
    <t>mold_fee_label</t>
  </si>
  <si>
    <t>C8</t>
  </si>
  <si>
    <t>If mold_fee_rmb exists, write Mold cost; otherwise N/A.</t>
  </si>
  <si>
    <t>mold_fee_production_days</t>
  </si>
  <si>
    <t>E8</t>
  </si>
  <si>
    <t>Mold fee has no production days unless PDF states one.</t>
  </si>
  <si>
    <t>mold_fee_qty</t>
  </si>
  <si>
    <t>F8</t>
  </si>
  <si>
    <t>Use 1 when mold_fee_rmb exists.</t>
  </si>
  <si>
    <t>mold_fee_unit_price</t>
  </si>
  <si>
    <t>G8</t>
  </si>
  <si>
    <t>Mold fee amount.</t>
  </si>
  <si>
    <t>mold_fee_total</t>
  </si>
  <si>
    <t>H8</t>
  </si>
  <si>
    <t>mold_fee_remark</t>
  </si>
  <si>
    <t>J8</t>
  </si>
  <si>
    <t>Translated mold refund condition.</t>
  </si>
  <si>
    <t>summary_total</t>
  </si>
  <si>
    <t>product_amount_rmb|mold_fee_rmb</t>
  </si>
  <si>
    <t>H9</t>
  </si>
  <si>
    <t>auto_add_missing_pdf_field</t>
  </si>
  <si>
    <t>automation_rule</t>
  </si>
  <si>
    <t>*</t>
  </si>
  <si>
    <t>Parsed_OCR_Data</t>
  </si>
  <si>
    <t>next empty row</t>
  </si>
  <si>
    <t>AUTO_ADD_FIELD</t>
  </si>
  <si>
    <t>If OCR finds a field not present in Field_Map, add it to Parsed_OCR_Data with normalized_value, group, confidence, source_page, and source_note.</t>
  </si>
  <si>
    <t>Then route by field_group: spec -&gt; D7; supplier -&gt; I7; terms -&gt; J7; fee -&gt; fee row; otherwise keep in Parsed_OCR_Data for manual review.</t>
  </si>
  <si>
    <t>default_missing_template_field</t>
  </si>
  <si>
    <t>mapped target</t>
  </si>
  <si>
    <t>DEFAULT_NA</t>
  </si>
  <si>
    <t>For every Field_Map row targeting Sheet1, if source_field is missing or blank, write N/A unless the target is a formula or image placeholder.</t>
  </si>
  <si>
    <t>This prevents stale values from previous quotes.</t>
  </si>
  <si>
    <t>formula_cells</t>
  </si>
  <si>
    <t>qty|unit_price_rmb|mold_fee_rmb</t>
  </si>
  <si>
    <t>H7:H9</t>
  </si>
  <si>
    <t>FORMULA_KEEP</t>
  </si>
  <si>
    <t>Never overwrite formula total cells with OCR values unless user explicitly requests a hardcoded export.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</si>
</sst>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$&quot;#,##0.00"/>
    <numFmt numFmtId="177" formatCode="mm/dd/yyyy"/>
    <numFmt numFmtId="178" formatCode="[$¥-804]#,##0.0"/>
    <numFmt numFmtId="179" formatCode="[$$-409]#,##0.0_ ;\-[$$-409]#,##0.0\ "/>
  </numFmts>
  <fonts count="20">
    <font>
      <sz val="11"/>
      <color theme="1"/>
      <name val="宋体"/>
      <family val="2"/>
      <charset val="177"/>
      <scheme val="minor"/>
    </font>
    <font>
      <sz val="10"/>
      <color theme="1"/>
      <name val="Instrument Sans"/>
    </font>
    <font>
      <b/>
      <sz val="10"/>
      <color theme="0"/>
      <name val="Instrument Sans"/>
    </font>
    <font>
      <b/>
      <sz val="11"/>
      <color theme="1"/>
      <name val="Instrument Sans"/>
    </font>
    <font>
      <b/>
      <u/>
      <sz val="11"/>
      <color theme="1"/>
      <name val="Instrument Sans"/>
    </font>
    <font>
      <b/>
      <sz val="10"/>
      <color theme="1"/>
      <name val="Instrument Sans"/>
    </font>
    <font>
      <b/>
      <sz val="11"/>
      <name val="Instrument Sans"/>
    </font>
    <font>
      <b/>
      <sz val="10"/>
      <color rgb="FF000000"/>
      <name val="Instrument Sans"/>
    </font>
    <font>
      <sz val="10"/>
      <color rgb="FF000000"/>
      <name val="Instrument Sans"/>
    </font>
    <font>
      <sz val="22"/>
      <color rgb="FF999999"/>
      <name val="Instrument Sans"/>
    </font>
    <font>
      <b/>
      <sz val="14"/>
      <color rgb="FF000000"/>
      <name val="Instrument Sans"/>
    </font>
    <font>
      <b/>
      <sz val="12"/>
      <color theme="1"/>
      <name val="Instrument Sans"/>
    </font>
    <font>
      <b/>
      <sz val="14"/>
      <color rgb="FFFFFFFF"/>
      <name val="Instrument Sans"/>
    </font>
    <font>
      <sz val="9"/>
      <color theme="1"/>
      <name val="Instrument Sans"/>
    </font>
    <font>
      <b/>
      <sz val="12"/>
      <color rgb="FF178ECE"/>
      <name val="Instrument Sans"/>
    </font>
    <font>
      <b/>
      <sz val="14"/>
      <color rgb="FF178ECE"/>
      <name val="Instrument Sans"/>
    </font>
    <font>
      <b/>
      <sz val="22"/>
      <color rgb="FF0F2269"/>
      <name val="Instrument Sans"/>
    </font>
    <font>
      <b/>
      <sz val="200"/>
      <color rgb="FF0F2269"/>
      <name val="Instrument Sans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12110E"/>
      </patternFill>
    </fill>
    <fill>
      <patternFill patternType="solid">
        <fgColor rgb="FF0F2269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rgb="FF0F2269"/>
      </patternFill>
    </fill>
  </fills>
  <borders count="8">
    <border>
      <left/>
      <right/>
      <top/>
      <bottom/>
      <diagonal/>
    </border>
    <border>
      <left/>
      <right/>
      <top style="thick">
        <color theme="2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2" tint="-0.24994659260841701"/>
      </left>
      <right/>
      <top/>
      <bottom style="thick">
        <color theme="2" tint="-0.24994659260841701"/>
      </bottom>
      <diagonal/>
    </border>
    <border>
      <left/>
      <right style="thick">
        <color theme="2" tint="-0.24994659260841701"/>
      </right>
      <top/>
      <bottom style="thick">
        <color theme="2" tint="-0.24994659260841701"/>
      </bottom>
      <diagonal/>
    </border>
    <border>
      <left/>
      <right/>
      <top/>
      <bottom style="thick">
        <color theme="2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 readingOrder="1"/>
    </xf>
    <xf numFmtId="0" fontId="5" fillId="2" borderId="0" xfId="0" applyFont="1" applyFill="1" applyAlignment="1">
      <alignment horizontal="right" vertical="center" wrapText="1" readingOrder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49" fontId="12" fillId="4" borderId="0" xfId="0" applyNumberFormat="1" applyFont="1" applyFill="1" applyAlignment="1">
      <alignment horizontal="center" vertical="center" wrapText="1"/>
    </xf>
    <xf numFmtId="176" fontId="12" fillId="4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right" wrapText="1"/>
    </xf>
    <xf numFmtId="176" fontId="15" fillId="3" borderId="4" xfId="0" applyNumberFormat="1" applyFont="1" applyFill="1" applyBorder="1" applyAlignment="1">
      <alignment horizontal="center" vertical="center" wrapText="1"/>
    </xf>
    <xf numFmtId="176" fontId="15" fillId="3" borderId="0" xfId="0" applyNumberFormat="1" applyFont="1" applyFill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3" fontId="11" fillId="2" borderId="2" xfId="0" applyNumberFormat="1" applyFont="1" applyFill="1" applyBorder="1" applyAlignment="1">
      <alignment horizontal="center" vertical="center" wrapText="1"/>
    </xf>
    <xf numFmtId="178" fontId="14" fillId="0" borderId="2" xfId="0" applyNumberFormat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shrinkToFit="1"/>
    </xf>
    <xf numFmtId="0" fontId="8" fillId="6" borderId="2" xfId="0" applyFont="1" applyFill="1" applyBorder="1" applyAlignment="1">
      <alignment horizontal="center" vertical="center" wrapText="1"/>
    </xf>
    <xf numFmtId="179" fontId="14" fillId="0" borderId="2" xfId="0" applyNumberFormat="1" applyFont="1" applyBorder="1" applyAlignment="1">
      <alignment horizontal="center" vertical="center" wrapText="1"/>
    </xf>
    <xf numFmtId="0" fontId="8" fillId="6" borderId="2" xfId="0" applyFont="1" applyFill="1" applyBorder="1" applyAlignment="1">
      <alignment vertical="center" wrapText="1"/>
    </xf>
    <xf numFmtId="179" fontId="1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9" fillId="7" borderId="7" xfId="0" applyFon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readingOrder="1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49" fontId="10" fillId="3" borderId="3" xfId="0" applyNumberFormat="1" applyFont="1" applyFill="1" applyBorder="1" applyAlignment="1">
      <alignment horizontal="center" vertical="center" wrapText="1"/>
    </xf>
    <xf numFmtId="0" fontId="0" fillId="0" borderId="5" xfId="0" applyBorder="1"/>
    <xf numFmtId="49" fontId="5" fillId="4" borderId="1" xfId="0" applyNumberFormat="1" applyFont="1" applyFill="1" applyBorder="1" applyAlignment="1">
      <alignment horizontal="left" vertical="center" wrapText="1"/>
    </xf>
    <xf numFmtId="0" fontId="0" fillId="0" borderId="1" xfId="0" applyBorder="1"/>
    <xf numFmtId="0" fontId="6" fillId="2" borderId="0" xfId="0" quotePrefix="1" applyFont="1" applyFill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0" fontId="0" fillId="0" borderId="6" xfId="0" applyBorder="1"/>
    <xf numFmtId="0" fontId="0" fillId="0" borderId="2" xfId="0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 shrinkToFit="1"/>
    </xf>
    <xf numFmtId="177" fontId="9" fillId="0" borderId="0" xfId="0" applyNumberFormat="1" applyFont="1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</xdr:col>
      <xdr:colOff>1866667</xdr:colOff>
      <xdr:row>6</xdr:row>
      <xdr:rowOff>1504762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C0CCA50-7986-7F99-577D-AC82FC787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3648076"/>
          <a:ext cx="1866667" cy="15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8"/>
  <sheetViews>
    <sheetView tabSelected="1" topLeftCell="A5" zoomScale="50" zoomScaleNormal="70" workbookViewId="0">
      <selection activeCell="B7" sqref="B7:B8"/>
    </sheetView>
  </sheetViews>
  <sheetFormatPr defaultColWidth="8.6640625" defaultRowHeight="13.5"/>
  <cols>
    <col min="1" max="1" width="53.265625" style="4" customWidth="1"/>
    <col min="2" max="2" width="29.9296875" style="4" customWidth="1"/>
    <col min="3" max="3" width="20.46484375" style="4" customWidth="1"/>
    <col min="4" max="4" width="22.33203125" style="4" customWidth="1"/>
    <col min="5" max="5" width="13.46484375" style="4" customWidth="1"/>
    <col min="6" max="6" width="10.46484375" style="4" customWidth="1"/>
    <col min="7" max="8" width="20.46484375" style="4" customWidth="1"/>
    <col min="9" max="9" width="22.33203125" style="4" customWidth="1"/>
    <col min="10" max="10" width="35.1328125" style="4" customWidth="1"/>
    <col min="11" max="11" width="8.6640625" style="4" customWidth="1"/>
    <col min="12" max="16384" width="8.6640625" style="4"/>
  </cols>
  <sheetData>
    <row r="1" spans="1:10" ht="22.25" customHeight="1">
      <c r="A1" s="28" t="s">
        <v>0</v>
      </c>
      <c r="B1" s="29"/>
      <c r="C1" s="29"/>
      <c r="D1" s="29"/>
      <c r="E1" s="2"/>
      <c r="F1" s="2"/>
      <c r="G1" s="2"/>
      <c r="H1" s="2"/>
      <c r="I1" s="2"/>
      <c r="J1" s="3" t="s">
        <v>1</v>
      </c>
    </row>
    <row r="2" spans="1:10" ht="155" customHeight="1">
      <c r="A2" s="40" t="s">
        <v>2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ht="21.75" customHeight="1">
      <c r="A3" s="5" t="s">
        <v>3</v>
      </c>
      <c r="B3" s="5"/>
      <c r="C3" s="6"/>
      <c r="D3" s="7"/>
      <c r="E3" s="7"/>
      <c r="F3" s="7"/>
      <c r="G3" s="7"/>
      <c r="H3" s="7"/>
      <c r="I3" s="7"/>
      <c r="J3" s="8" t="s">
        <v>2</v>
      </c>
    </row>
    <row r="4" spans="1:10" ht="33" customHeight="1">
      <c r="A4" s="41" t="s">
        <v>4</v>
      </c>
      <c r="B4" s="29"/>
      <c r="C4" s="29"/>
      <c r="D4" s="7"/>
      <c r="E4" s="7"/>
      <c r="F4" s="7"/>
      <c r="G4" s="7"/>
      <c r="H4" s="7"/>
      <c r="I4" s="7"/>
      <c r="J4" s="9" t="s">
        <v>5</v>
      </c>
    </row>
    <row r="5" spans="1:10" ht="22.5" customHeight="1">
      <c r="A5" s="30"/>
      <c r="B5" s="29"/>
      <c r="C5" s="29"/>
      <c r="D5" s="29"/>
      <c r="E5" s="29"/>
      <c r="F5" s="29"/>
      <c r="G5" s="29"/>
      <c r="H5" s="29"/>
      <c r="I5" s="29"/>
      <c r="J5" s="29"/>
    </row>
    <row r="6" spans="1:10" ht="32" customHeight="1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</row>
    <row r="7" spans="1:10" ht="397.5" customHeight="1">
      <c r="A7" s="37" t="s">
        <v>16</v>
      </c>
      <c r="B7" s="39"/>
      <c r="C7" s="15" t="s">
        <v>17</v>
      </c>
      <c r="D7" s="23" t="s">
        <v>18</v>
      </c>
      <c r="E7" s="16">
        <v>90</v>
      </c>
      <c r="F7" s="17">
        <v>100</v>
      </c>
      <c r="G7" s="18">
        <v>500</v>
      </c>
      <c r="H7" s="22">
        <f>G7*F7</f>
        <v>50000</v>
      </c>
      <c r="I7" s="24" t="s">
        <v>19</v>
      </c>
      <c r="J7" s="25" t="s">
        <v>20</v>
      </c>
    </row>
    <row r="8" spans="1:10" ht="69.400000000000006" customHeight="1">
      <c r="A8" s="38"/>
      <c r="B8" s="38"/>
      <c r="C8" s="15" t="s">
        <v>21</v>
      </c>
      <c r="D8" s="21"/>
      <c r="E8" s="16" t="s">
        <v>22</v>
      </c>
      <c r="F8" s="17">
        <v>1</v>
      </c>
      <c r="G8" s="18">
        <v>14000</v>
      </c>
      <c r="H8" s="22">
        <f>F8*G8</f>
        <v>14000</v>
      </c>
      <c r="I8" s="19"/>
      <c r="J8" s="25" t="s">
        <v>23</v>
      </c>
    </row>
    <row r="9" spans="1:10" ht="30" customHeight="1" thickBot="1">
      <c r="A9" s="32" t="s">
        <v>24</v>
      </c>
      <c r="B9" s="33"/>
      <c r="C9" s="33"/>
      <c r="D9" s="33"/>
      <c r="E9" s="33"/>
      <c r="F9" s="33"/>
      <c r="G9" s="33"/>
      <c r="H9" s="13">
        <f>SUM(H7:H8)</f>
        <v>64000</v>
      </c>
      <c r="I9" s="14"/>
      <c r="J9" s="12"/>
    </row>
    <row r="10" spans="1:10" ht="37.25" customHeight="1" thickTop="1">
      <c r="A10" s="34" t="s">
        <v>25</v>
      </c>
      <c r="B10" s="35"/>
      <c r="C10" s="10"/>
      <c r="D10" s="10"/>
      <c r="E10" s="10"/>
      <c r="F10" s="10"/>
      <c r="G10" s="10"/>
      <c r="H10" s="11"/>
      <c r="I10" s="11"/>
      <c r="J10" s="12"/>
    </row>
    <row r="11" spans="1:10" ht="13.9" customHeight="1">
      <c r="A11" s="36"/>
      <c r="B11" s="29"/>
      <c r="C11" s="29"/>
      <c r="D11" s="29"/>
      <c r="E11" s="29"/>
    </row>
    <row r="12" spans="1:10">
      <c r="A12" s="42"/>
      <c r="B12" s="29"/>
      <c r="C12" s="29"/>
      <c r="D12" s="29"/>
      <c r="E12" s="29"/>
    </row>
    <row r="13" spans="1:10">
      <c r="A13" s="29"/>
      <c r="B13" s="29"/>
      <c r="C13" s="29"/>
      <c r="D13" s="29"/>
      <c r="E13" s="29"/>
    </row>
    <row r="14" spans="1:10">
      <c r="A14" s="29"/>
      <c r="B14" s="29"/>
      <c r="C14" s="29"/>
      <c r="D14" s="29"/>
      <c r="E14" s="29"/>
    </row>
    <row r="15" spans="1:10" ht="23" customHeight="1">
      <c r="A15" s="31" t="s">
        <v>26</v>
      </c>
      <c r="B15" s="29"/>
      <c r="C15" s="29"/>
      <c r="D15" s="29"/>
      <c r="E15" s="29"/>
      <c r="F15" s="29"/>
    </row>
    <row r="16" spans="1:10" ht="23" customHeight="1">
      <c r="A16" s="29"/>
      <c r="B16" s="29"/>
      <c r="C16" s="29"/>
      <c r="D16" s="29"/>
      <c r="E16" s="29"/>
      <c r="F16" s="29"/>
    </row>
    <row r="17" spans="1:6" ht="23" customHeight="1">
      <c r="A17" s="29"/>
      <c r="B17" s="29"/>
      <c r="C17" s="29"/>
      <c r="D17" s="29"/>
      <c r="E17" s="29"/>
      <c r="F17" s="29"/>
    </row>
    <row r="18" spans="1:6" ht="23" customHeight="1"/>
  </sheetData>
  <mergeCells count="11">
    <mergeCell ref="A1:D1"/>
    <mergeCell ref="A5:J5"/>
    <mergeCell ref="A15:F17"/>
    <mergeCell ref="A9:G9"/>
    <mergeCell ref="A10:B10"/>
    <mergeCell ref="A11:E11"/>
    <mergeCell ref="A7:A8"/>
    <mergeCell ref="B7:B8"/>
    <mergeCell ref="A2:J2"/>
    <mergeCell ref="A4:C4"/>
    <mergeCell ref="A12:E14"/>
  </mergeCells>
  <phoneticPr fontId="18" type="noConversion"/>
  <pageMargins left="0.7" right="0.7" top="0.75" bottom="0.75" header="0.3" footer="0.3"/>
  <pageSetup paperSize="9"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showGridLines="0" workbookViewId="0">
      <pane ySplit="1" topLeftCell="A2" activePane="bottomLeft" state="frozen"/>
      <selection pane="bottomLeft" activeCell="M10" sqref="M10"/>
    </sheetView>
  </sheetViews>
  <sheetFormatPr defaultColWidth="36" defaultRowHeight="13.5"/>
  <cols>
    <col min="1" max="1" width="28" style="20" bestFit="1" customWidth="1"/>
    <col min="2" max="2" width="18" style="20" bestFit="1" customWidth="1"/>
    <col min="3" max="3" width="36" style="20" customWidth="1"/>
    <col min="4" max="4" width="48" customWidth="1"/>
    <col min="5" max="5" width="16" customWidth="1"/>
    <col min="6" max="6" width="10" customWidth="1"/>
    <col min="7" max="7" width="18" customWidth="1"/>
    <col min="8" max="9" width="12" customWidth="1"/>
    <col min="10" max="10" width="44" customWidth="1"/>
    <col min="11" max="16384" width="36" style="20"/>
  </cols>
  <sheetData>
    <row r="1" spans="1:10" ht="13.9" customHeight="1">
      <c r="A1" s="26" t="s">
        <v>27</v>
      </c>
      <c r="B1" s="26" t="s">
        <v>28</v>
      </c>
      <c r="C1" s="26" t="s">
        <v>29</v>
      </c>
      <c r="D1" s="26" t="s">
        <v>30</v>
      </c>
      <c r="E1" s="26" t="s">
        <v>31</v>
      </c>
      <c r="F1" s="26" t="s">
        <v>32</v>
      </c>
      <c r="G1" s="26" t="s">
        <v>33</v>
      </c>
      <c r="H1" s="26" t="s">
        <v>34</v>
      </c>
      <c r="I1" s="26" t="s">
        <v>35</v>
      </c>
      <c r="J1" s="26" t="s">
        <v>36</v>
      </c>
    </row>
    <row r="2" spans="1:10">
      <c r="A2" s="27" t="s">
        <v>37</v>
      </c>
      <c r="B2" s="27" t="s">
        <v>38</v>
      </c>
      <c r="C2" s="27" t="s">
        <v>39</v>
      </c>
      <c r="D2" s="27" t="s">
        <v>39</v>
      </c>
      <c r="E2" s="27" t="s">
        <v>40</v>
      </c>
      <c r="F2" s="27" t="s">
        <v>41</v>
      </c>
      <c r="G2" s="27" t="s">
        <v>22</v>
      </c>
      <c r="H2" s="27">
        <v>0.95</v>
      </c>
      <c r="I2" s="27">
        <v>1</v>
      </c>
      <c r="J2" s="27" t="s">
        <v>42</v>
      </c>
    </row>
    <row r="3" spans="1:10">
      <c r="A3" s="27" t="s">
        <v>43</v>
      </c>
      <c r="B3" s="27" t="s">
        <v>44</v>
      </c>
      <c r="C3" s="27" t="s">
        <v>4</v>
      </c>
      <c r="D3" s="27" t="s">
        <v>4</v>
      </c>
      <c r="E3" s="27" t="s">
        <v>45</v>
      </c>
      <c r="F3" s="27" t="s">
        <v>41</v>
      </c>
      <c r="G3" s="27" t="s">
        <v>22</v>
      </c>
      <c r="H3" s="27">
        <v>0.95</v>
      </c>
      <c r="I3" s="27">
        <v>1</v>
      </c>
      <c r="J3" s="27" t="s">
        <v>46</v>
      </c>
    </row>
    <row r="4" spans="1:10">
      <c r="A4" s="27" t="s">
        <v>47</v>
      </c>
      <c r="B4" s="27" t="s">
        <v>44</v>
      </c>
      <c r="C4" s="27" t="s">
        <v>48</v>
      </c>
      <c r="D4" s="27" t="s">
        <v>48</v>
      </c>
      <c r="E4" s="27" t="s">
        <v>40</v>
      </c>
      <c r="F4" s="27" t="s">
        <v>41</v>
      </c>
      <c r="G4" s="27" t="s">
        <v>22</v>
      </c>
      <c r="H4" s="27">
        <v>0.95</v>
      </c>
      <c r="I4" s="27">
        <v>1</v>
      </c>
      <c r="J4" s="27" t="s">
        <v>49</v>
      </c>
    </row>
    <row r="5" spans="1:10">
      <c r="A5" s="27" t="s">
        <v>50</v>
      </c>
      <c r="B5" s="27" t="s">
        <v>51</v>
      </c>
      <c r="C5" s="27" t="s">
        <v>16</v>
      </c>
      <c r="D5" s="27" t="s">
        <v>16</v>
      </c>
      <c r="E5" s="27" t="s">
        <v>40</v>
      </c>
      <c r="F5" s="27" t="s">
        <v>41</v>
      </c>
      <c r="G5" s="27" t="s">
        <v>22</v>
      </c>
      <c r="H5" s="27">
        <v>0.95</v>
      </c>
      <c r="I5" s="27">
        <v>1</v>
      </c>
      <c r="J5" s="27" t="s">
        <v>52</v>
      </c>
    </row>
    <row r="6" spans="1:10">
      <c r="A6" s="27" t="s">
        <v>53</v>
      </c>
      <c r="B6" s="27" t="s">
        <v>51</v>
      </c>
      <c r="C6" s="27" t="s">
        <v>54</v>
      </c>
      <c r="D6" s="27" t="s">
        <v>54</v>
      </c>
      <c r="E6" s="27" t="s">
        <v>40</v>
      </c>
      <c r="F6" s="27" t="s">
        <v>55</v>
      </c>
      <c r="G6" s="27" t="s">
        <v>22</v>
      </c>
      <c r="H6" s="27">
        <v>0.95</v>
      </c>
      <c r="I6" s="27">
        <v>1</v>
      </c>
      <c r="J6" s="27" t="s">
        <v>56</v>
      </c>
    </row>
    <row r="7" spans="1:10">
      <c r="A7" s="27" t="s">
        <v>57</v>
      </c>
      <c r="B7" s="27" t="s">
        <v>51</v>
      </c>
      <c r="C7" s="27" t="s">
        <v>58</v>
      </c>
      <c r="D7" s="27" t="s">
        <v>58</v>
      </c>
      <c r="E7" s="27" t="s">
        <v>40</v>
      </c>
      <c r="F7" s="27" t="s">
        <v>55</v>
      </c>
      <c r="G7" s="27" t="s">
        <v>22</v>
      </c>
      <c r="H7" s="27">
        <v>0.95</v>
      </c>
      <c r="I7" s="27">
        <v>1</v>
      </c>
      <c r="J7" s="27" t="s">
        <v>59</v>
      </c>
    </row>
    <row r="8" spans="1:10">
      <c r="A8" s="27" t="s">
        <v>60</v>
      </c>
      <c r="B8" s="27" t="s">
        <v>51</v>
      </c>
      <c r="C8" s="27" t="s">
        <v>22</v>
      </c>
      <c r="D8" s="27" t="s">
        <v>22</v>
      </c>
      <c r="E8" s="27" t="s">
        <v>40</v>
      </c>
      <c r="F8" s="27" t="s">
        <v>55</v>
      </c>
      <c r="G8" s="27" t="s">
        <v>22</v>
      </c>
      <c r="H8" s="27">
        <v>0.95</v>
      </c>
      <c r="I8" s="27">
        <v>1</v>
      </c>
      <c r="J8" s="27" t="s">
        <v>61</v>
      </c>
    </row>
    <row r="9" spans="1:10">
      <c r="A9" s="27" t="s">
        <v>62</v>
      </c>
      <c r="B9" s="27" t="s">
        <v>51</v>
      </c>
      <c r="C9" s="27" t="s">
        <v>22</v>
      </c>
      <c r="D9" s="27" t="s">
        <v>22</v>
      </c>
      <c r="E9" s="27" t="s">
        <v>40</v>
      </c>
      <c r="F9" s="27" t="s">
        <v>55</v>
      </c>
      <c r="G9" s="27" t="s">
        <v>22</v>
      </c>
      <c r="H9" s="27">
        <v>0.95</v>
      </c>
      <c r="I9" s="27">
        <v>1</v>
      </c>
      <c r="J9" s="27" t="s">
        <v>63</v>
      </c>
    </row>
    <row r="10" spans="1:10">
      <c r="A10" s="27" t="s">
        <v>64</v>
      </c>
      <c r="B10" s="27" t="s">
        <v>51</v>
      </c>
      <c r="C10" s="27" t="s">
        <v>22</v>
      </c>
      <c r="D10" s="27" t="s">
        <v>22</v>
      </c>
      <c r="E10" s="27" t="s">
        <v>40</v>
      </c>
      <c r="F10" s="27" t="s">
        <v>55</v>
      </c>
      <c r="G10" s="27" t="s">
        <v>22</v>
      </c>
      <c r="H10" s="27">
        <v>0.95</v>
      </c>
      <c r="I10" s="27">
        <v>1</v>
      </c>
      <c r="J10" s="27" t="s">
        <v>65</v>
      </c>
    </row>
    <row r="11" spans="1:10" ht="27">
      <c r="A11" s="27" t="s">
        <v>66</v>
      </c>
      <c r="B11" s="27" t="s">
        <v>67</v>
      </c>
      <c r="C11" s="27" t="s">
        <v>17</v>
      </c>
      <c r="D11" s="27" t="s">
        <v>17</v>
      </c>
      <c r="E11" s="27" t="s">
        <v>40</v>
      </c>
      <c r="F11" s="27" t="s">
        <v>41</v>
      </c>
      <c r="G11" s="27" t="s">
        <v>22</v>
      </c>
      <c r="H11" s="27">
        <v>0.4</v>
      </c>
      <c r="I11" s="27">
        <v>1</v>
      </c>
      <c r="J11" s="27" t="s">
        <v>68</v>
      </c>
    </row>
    <row r="12" spans="1:10">
      <c r="A12" s="27" t="s">
        <v>69</v>
      </c>
      <c r="B12" s="27" t="s">
        <v>70</v>
      </c>
      <c r="C12" s="27" t="s">
        <v>22</v>
      </c>
      <c r="D12" s="27" t="s">
        <v>22</v>
      </c>
      <c r="E12" s="27" t="s">
        <v>40</v>
      </c>
      <c r="F12" s="27" t="s">
        <v>41</v>
      </c>
      <c r="G12" s="27" t="s">
        <v>22</v>
      </c>
      <c r="H12" s="27">
        <v>0.4</v>
      </c>
      <c r="I12" s="27">
        <v>1</v>
      </c>
      <c r="J12" s="27" t="s">
        <v>68</v>
      </c>
    </row>
    <row r="13" spans="1:10">
      <c r="A13" s="27" t="s">
        <v>71</v>
      </c>
      <c r="B13" s="27" t="s">
        <v>70</v>
      </c>
      <c r="C13" s="27" t="s">
        <v>22</v>
      </c>
      <c r="D13" s="27" t="s">
        <v>22</v>
      </c>
      <c r="E13" s="27" t="s">
        <v>40</v>
      </c>
      <c r="F13" s="27" t="s">
        <v>41</v>
      </c>
      <c r="G13" s="27" t="s">
        <v>22</v>
      </c>
      <c r="H13" s="27">
        <v>0.95</v>
      </c>
      <c r="I13" s="27">
        <v>1</v>
      </c>
      <c r="J13" s="27" t="s">
        <v>72</v>
      </c>
    </row>
    <row r="14" spans="1:10">
      <c r="A14" s="27" t="s">
        <v>73</v>
      </c>
      <c r="B14" s="27" t="s">
        <v>70</v>
      </c>
      <c r="C14" s="27" t="s">
        <v>22</v>
      </c>
      <c r="D14" s="27" t="s">
        <v>22</v>
      </c>
      <c r="E14" s="27" t="s">
        <v>40</v>
      </c>
      <c r="F14" s="27" t="s">
        <v>55</v>
      </c>
      <c r="G14" s="27" t="s">
        <v>22</v>
      </c>
      <c r="H14" s="27">
        <v>0.95</v>
      </c>
      <c r="I14" s="27">
        <v>1</v>
      </c>
      <c r="J14" s="27" t="s">
        <v>74</v>
      </c>
    </row>
    <row r="15" spans="1:10">
      <c r="A15" s="27" t="s">
        <v>75</v>
      </c>
      <c r="B15" s="27" t="s">
        <v>70</v>
      </c>
      <c r="C15" s="27" t="s">
        <v>22</v>
      </c>
      <c r="D15" s="27" t="s">
        <v>22</v>
      </c>
      <c r="E15" s="27" t="s">
        <v>40</v>
      </c>
      <c r="F15" s="27" t="s">
        <v>55</v>
      </c>
      <c r="G15" s="27" t="s">
        <v>22</v>
      </c>
      <c r="H15" s="27">
        <v>0.4</v>
      </c>
      <c r="I15" s="27">
        <v>1</v>
      </c>
      <c r="J15" s="27" t="s">
        <v>76</v>
      </c>
    </row>
    <row r="16" spans="1:10">
      <c r="A16" s="27" t="s">
        <v>77</v>
      </c>
      <c r="B16" s="27" t="s">
        <v>70</v>
      </c>
      <c r="C16" s="27" t="s">
        <v>22</v>
      </c>
      <c r="D16" s="27" t="s">
        <v>22</v>
      </c>
      <c r="E16" s="27" t="s">
        <v>40</v>
      </c>
      <c r="F16" s="27" t="s">
        <v>55</v>
      </c>
      <c r="G16" s="27" t="s">
        <v>22</v>
      </c>
      <c r="H16" s="27">
        <v>0.95</v>
      </c>
      <c r="I16" s="27">
        <v>1</v>
      </c>
      <c r="J16" s="27" t="s">
        <v>78</v>
      </c>
    </row>
    <row r="17" spans="1:10" ht="27">
      <c r="A17" s="27" t="s">
        <v>79</v>
      </c>
      <c r="B17" s="27" t="s">
        <v>70</v>
      </c>
      <c r="C17" s="27" t="s">
        <v>80</v>
      </c>
      <c r="D17" s="27" t="s">
        <v>80</v>
      </c>
      <c r="E17" s="27" t="s">
        <v>40</v>
      </c>
      <c r="F17" s="27" t="s">
        <v>55</v>
      </c>
      <c r="G17" s="27" t="s">
        <v>22</v>
      </c>
      <c r="H17" s="27">
        <v>0.95</v>
      </c>
      <c r="I17" s="27">
        <v>1</v>
      </c>
      <c r="J17" s="27" t="s">
        <v>81</v>
      </c>
    </row>
    <row r="18" spans="1:10">
      <c r="A18" s="27" t="s">
        <v>82</v>
      </c>
      <c r="B18" s="27" t="s">
        <v>83</v>
      </c>
      <c r="C18" s="27">
        <v>100</v>
      </c>
      <c r="D18" s="27">
        <v>100</v>
      </c>
      <c r="E18" s="27" t="s">
        <v>84</v>
      </c>
      <c r="F18" s="27" t="s">
        <v>41</v>
      </c>
      <c r="G18" s="27" t="s">
        <v>22</v>
      </c>
      <c r="H18" s="27">
        <v>0.95</v>
      </c>
      <c r="I18" s="27">
        <v>1</v>
      </c>
      <c r="J18" s="27" t="s">
        <v>85</v>
      </c>
    </row>
    <row r="19" spans="1:10">
      <c r="A19" s="27" t="s">
        <v>86</v>
      </c>
      <c r="B19" s="27" t="s">
        <v>83</v>
      </c>
      <c r="C19" s="27">
        <v>500</v>
      </c>
      <c r="D19" s="27">
        <v>500</v>
      </c>
      <c r="E19" s="27" t="s">
        <v>87</v>
      </c>
      <c r="F19" s="27" t="s">
        <v>41</v>
      </c>
      <c r="G19" s="27" t="s">
        <v>22</v>
      </c>
      <c r="H19" s="27">
        <v>0.95</v>
      </c>
      <c r="I19" s="27">
        <v>1</v>
      </c>
      <c r="J19" s="27" t="s">
        <v>88</v>
      </c>
    </row>
    <row r="20" spans="1:10">
      <c r="A20" s="27" t="s">
        <v>89</v>
      </c>
      <c r="B20" s="27" t="s">
        <v>83</v>
      </c>
      <c r="C20" s="27" t="s">
        <v>22</v>
      </c>
      <c r="D20" s="27">
        <v>50000</v>
      </c>
      <c r="E20" s="27" t="s">
        <v>87</v>
      </c>
      <c r="F20" s="27" t="s">
        <v>41</v>
      </c>
      <c r="G20" s="27" t="s">
        <v>22</v>
      </c>
      <c r="H20" s="27">
        <v>0.95</v>
      </c>
      <c r="I20" s="27">
        <v>1</v>
      </c>
      <c r="J20" s="27" t="s">
        <v>85</v>
      </c>
    </row>
    <row r="21" spans="1:10">
      <c r="A21" s="27" t="s">
        <v>90</v>
      </c>
      <c r="B21" s="27" t="s">
        <v>91</v>
      </c>
      <c r="C21" s="27">
        <v>14000</v>
      </c>
      <c r="D21" s="27">
        <v>14000</v>
      </c>
      <c r="E21" s="27" t="s">
        <v>87</v>
      </c>
      <c r="F21" s="27" t="s">
        <v>55</v>
      </c>
      <c r="G21" s="27" t="s">
        <v>22</v>
      </c>
      <c r="H21" s="27">
        <v>0.4</v>
      </c>
      <c r="I21" s="27">
        <v>1</v>
      </c>
      <c r="J21" s="27" t="s">
        <v>68</v>
      </c>
    </row>
    <row r="22" spans="1:10" ht="27">
      <c r="A22" s="27" t="s">
        <v>92</v>
      </c>
      <c r="B22" s="27" t="s">
        <v>91</v>
      </c>
      <c r="C22" s="27" t="s">
        <v>23</v>
      </c>
      <c r="D22" s="27" t="s">
        <v>23</v>
      </c>
      <c r="E22" s="27" t="s">
        <v>40</v>
      </c>
      <c r="F22" s="27" t="s">
        <v>55</v>
      </c>
      <c r="G22" s="27" t="s">
        <v>22</v>
      </c>
      <c r="H22" s="27">
        <v>0.95</v>
      </c>
      <c r="I22" s="27">
        <v>1</v>
      </c>
      <c r="J22" s="27" t="s">
        <v>93</v>
      </c>
    </row>
    <row r="23" spans="1:10">
      <c r="A23" s="27" t="s">
        <v>94</v>
      </c>
      <c r="B23" s="27" t="s">
        <v>95</v>
      </c>
      <c r="C23" s="27" t="s">
        <v>22</v>
      </c>
      <c r="D23" s="27">
        <v>64000</v>
      </c>
      <c r="E23" s="27" t="s">
        <v>87</v>
      </c>
      <c r="F23" s="27" t="s">
        <v>41</v>
      </c>
      <c r="G23" s="27" t="s">
        <v>22</v>
      </c>
      <c r="H23" s="27">
        <v>0.95</v>
      </c>
      <c r="I23" s="27">
        <v>1</v>
      </c>
      <c r="J23" s="27" t="s">
        <v>96</v>
      </c>
    </row>
    <row r="24" spans="1:10">
      <c r="A24" s="27" t="s">
        <v>97</v>
      </c>
      <c r="B24" s="27" t="s">
        <v>98</v>
      </c>
      <c r="C24" s="27" t="s">
        <v>22</v>
      </c>
      <c r="D24" s="27" t="s">
        <v>22</v>
      </c>
      <c r="E24" s="27" t="s">
        <v>40</v>
      </c>
      <c r="F24" s="27" t="s">
        <v>55</v>
      </c>
      <c r="G24" s="27" t="s">
        <v>22</v>
      </c>
      <c r="H24" s="27">
        <v>0.95</v>
      </c>
      <c r="I24" s="27">
        <v>1</v>
      </c>
      <c r="J24" s="27" t="s">
        <v>99</v>
      </c>
    </row>
    <row r="25" spans="1:10">
      <c r="A25" s="27" t="s">
        <v>100</v>
      </c>
      <c r="B25" s="27" t="s">
        <v>98</v>
      </c>
      <c r="C25" s="27" t="s">
        <v>22</v>
      </c>
      <c r="D25" s="27" t="s">
        <v>22</v>
      </c>
      <c r="E25" s="27" t="s">
        <v>40</v>
      </c>
      <c r="F25" s="27" t="s">
        <v>55</v>
      </c>
      <c r="G25" s="27" t="s">
        <v>22</v>
      </c>
      <c r="H25" s="27">
        <v>0.95</v>
      </c>
      <c r="I25" s="27">
        <v>1</v>
      </c>
      <c r="J25" s="27" t="s">
        <v>101</v>
      </c>
    </row>
    <row r="26" spans="1:10" ht="40.5">
      <c r="A26" s="27" t="s">
        <v>102</v>
      </c>
      <c r="B26" s="27" t="s">
        <v>98</v>
      </c>
      <c r="C26" s="27" t="s">
        <v>103</v>
      </c>
      <c r="D26" s="27" t="s">
        <v>103</v>
      </c>
      <c r="E26" s="27" t="s">
        <v>40</v>
      </c>
      <c r="F26" s="27" t="s">
        <v>41</v>
      </c>
      <c r="G26" s="27" t="s">
        <v>22</v>
      </c>
      <c r="H26" s="27">
        <v>0.95</v>
      </c>
      <c r="I26" s="27">
        <v>1</v>
      </c>
      <c r="J26" s="27" t="s">
        <v>104</v>
      </c>
    </row>
    <row r="27" spans="1:10">
      <c r="A27" s="27" t="s">
        <v>105</v>
      </c>
      <c r="B27" s="27" t="s">
        <v>98</v>
      </c>
      <c r="C27" s="27" t="s">
        <v>22</v>
      </c>
      <c r="D27" s="27" t="s">
        <v>22</v>
      </c>
      <c r="E27" s="27" t="s">
        <v>40</v>
      </c>
      <c r="F27" s="27" t="s">
        <v>55</v>
      </c>
      <c r="G27" s="27" t="s">
        <v>22</v>
      </c>
      <c r="H27" s="27">
        <v>0.95</v>
      </c>
      <c r="I27" s="27">
        <v>1</v>
      </c>
      <c r="J27" s="27" t="s">
        <v>106</v>
      </c>
    </row>
    <row r="28" spans="1:10">
      <c r="A28" s="27" t="s">
        <v>107</v>
      </c>
      <c r="B28" s="27" t="s">
        <v>98</v>
      </c>
      <c r="C28" s="27" t="s">
        <v>22</v>
      </c>
      <c r="D28" s="27" t="s">
        <v>22</v>
      </c>
      <c r="E28" s="27" t="s">
        <v>40</v>
      </c>
      <c r="F28" s="27" t="s">
        <v>55</v>
      </c>
      <c r="G28" s="27" t="s">
        <v>22</v>
      </c>
      <c r="H28" s="27">
        <v>0.95</v>
      </c>
      <c r="I28" s="27">
        <v>1</v>
      </c>
      <c r="J28" s="27" t="s">
        <v>108</v>
      </c>
    </row>
    <row r="29" spans="1:10">
      <c r="A29" s="27" t="s">
        <v>109</v>
      </c>
      <c r="B29" s="27" t="s">
        <v>98</v>
      </c>
      <c r="C29" s="27">
        <v>90</v>
      </c>
      <c r="D29" s="27" t="s">
        <v>110</v>
      </c>
      <c r="E29" s="27" t="s">
        <v>84</v>
      </c>
      <c r="F29" s="27" t="s">
        <v>41</v>
      </c>
      <c r="G29" s="27" t="s">
        <v>22</v>
      </c>
      <c r="H29" s="27">
        <v>0.95</v>
      </c>
      <c r="I29" s="27">
        <v>1</v>
      </c>
      <c r="J29" s="27" t="s">
        <v>111</v>
      </c>
    </row>
    <row r="30" spans="1:10">
      <c r="A30" s="27" t="s">
        <v>112</v>
      </c>
      <c r="B30" s="27" t="s">
        <v>98</v>
      </c>
      <c r="C30" s="27" t="s">
        <v>113</v>
      </c>
      <c r="D30" s="27" t="s">
        <v>113</v>
      </c>
      <c r="E30" s="27" t="s">
        <v>40</v>
      </c>
      <c r="F30" s="27" t="s">
        <v>41</v>
      </c>
      <c r="G30" s="27" t="s">
        <v>22</v>
      </c>
      <c r="H30" s="27">
        <v>0.95</v>
      </c>
      <c r="I30" s="27">
        <v>1</v>
      </c>
      <c r="J30" s="27" t="s">
        <v>114</v>
      </c>
    </row>
    <row r="31" spans="1:10">
      <c r="A31" s="27" t="s">
        <v>115</v>
      </c>
      <c r="B31" s="27" t="s">
        <v>98</v>
      </c>
      <c r="C31" s="27" t="s">
        <v>116</v>
      </c>
      <c r="D31" s="27" t="s">
        <v>116</v>
      </c>
      <c r="E31" s="27" t="s">
        <v>40</v>
      </c>
      <c r="F31" s="27" t="s">
        <v>41</v>
      </c>
      <c r="G31" s="27" t="s">
        <v>22</v>
      </c>
      <c r="H31" s="27">
        <v>0.4</v>
      </c>
      <c r="I31" s="27">
        <v>1</v>
      </c>
      <c r="J31" s="27" t="s">
        <v>68</v>
      </c>
    </row>
    <row r="32" spans="1:10">
      <c r="A32" s="27" t="s">
        <v>117</v>
      </c>
      <c r="B32" s="27" t="s">
        <v>98</v>
      </c>
      <c r="C32" s="27" t="s">
        <v>22</v>
      </c>
      <c r="D32" s="27" t="s">
        <v>22</v>
      </c>
      <c r="E32" s="27" t="s">
        <v>40</v>
      </c>
      <c r="F32" s="27" t="s">
        <v>55</v>
      </c>
      <c r="G32" s="27" t="s">
        <v>22</v>
      </c>
      <c r="H32" s="27">
        <v>0.4</v>
      </c>
      <c r="I32" s="27">
        <v>1</v>
      </c>
      <c r="J32" s="27" t="s">
        <v>68</v>
      </c>
    </row>
    <row r="33" spans="1:10" ht="27">
      <c r="A33" s="27" t="s">
        <v>102</v>
      </c>
      <c r="B33" s="27" t="s">
        <v>98</v>
      </c>
      <c r="C33" s="27" t="s">
        <v>118</v>
      </c>
      <c r="D33" s="27" t="s">
        <v>119</v>
      </c>
      <c r="E33" s="27" t="s">
        <v>40</v>
      </c>
      <c r="F33" s="27" t="s">
        <v>41</v>
      </c>
      <c r="G33" s="27" t="s">
        <v>22</v>
      </c>
      <c r="H33" s="27">
        <v>0.95</v>
      </c>
      <c r="I33" s="27">
        <v>1</v>
      </c>
      <c r="J33" s="27" t="s">
        <v>120</v>
      </c>
    </row>
    <row r="34" spans="1:10">
      <c r="A34" s="27" t="s">
        <v>105</v>
      </c>
      <c r="B34" s="27" t="s">
        <v>98</v>
      </c>
      <c r="C34" s="27" t="s">
        <v>22</v>
      </c>
      <c r="D34" s="27" t="s">
        <v>22</v>
      </c>
      <c r="E34" s="27" t="s">
        <v>40</v>
      </c>
      <c r="F34" s="27" t="s">
        <v>55</v>
      </c>
      <c r="G34" s="27" t="s">
        <v>22</v>
      </c>
      <c r="H34" s="27">
        <v>0.4</v>
      </c>
      <c r="I34" s="27">
        <v>1</v>
      </c>
      <c r="J34" s="27" t="s">
        <v>68</v>
      </c>
    </row>
    <row r="35" spans="1:10">
      <c r="A35" s="27" t="s">
        <v>107</v>
      </c>
      <c r="B35" s="27" t="s">
        <v>98</v>
      </c>
      <c r="C35" s="27" t="s">
        <v>22</v>
      </c>
      <c r="D35" s="27" t="s">
        <v>22</v>
      </c>
      <c r="E35" s="27" t="s">
        <v>40</v>
      </c>
      <c r="F35" s="27" t="s">
        <v>55</v>
      </c>
      <c r="G35" s="27" t="s">
        <v>22</v>
      </c>
      <c r="H35" s="27">
        <v>0.4</v>
      </c>
      <c r="I35" s="27">
        <v>1</v>
      </c>
      <c r="J35" s="27" t="s">
        <v>68</v>
      </c>
    </row>
    <row r="36" spans="1:10">
      <c r="A36" s="27" t="s">
        <v>109</v>
      </c>
      <c r="B36" s="27" t="s">
        <v>98</v>
      </c>
      <c r="C36" s="27" t="s">
        <v>121</v>
      </c>
      <c r="D36" s="27" t="s">
        <v>121</v>
      </c>
      <c r="E36" s="27" t="s">
        <v>84</v>
      </c>
      <c r="F36" s="27" t="s">
        <v>41</v>
      </c>
      <c r="G36" s="27" t="s">
        <v>22</v>
      </c>
      <c r="H36" s="27">
        <v>0.95</v>
      </c>
      <c r="I36" s="27">
        <v>1</v>
      </c>
      <c r="J36" s="27" t="s">
        <v>122</v>
      </c>
    </row>
    <row r="37" spans="1:10">
      <c r="A37" s="27" t="s">
        <v>112</v>
      </c>
      <c r="B37" s="27" t="s">
        <v>98</v>
      </c>
      <c r="C37" s="27" t="s">
        <v>123</v>
      </c>
      <c r="D37" s="27" t="s">
        <v>124</v>
      </c>
      <c r="E37" s="27" t="s">
        <v>40</v>
      </c>
      <c r="F37" s="27" t="s">
        <v>41</v>
      </c>
      <c r="G37" s="27" t="s">
        <v>22</v>
      </c>
      <c r="H37" s="27">
        <v>0.95</v>
      </c>
      <c r="I37" s="27">
        <v>1</v>
      </c>
      <c r="J37" s="27" t="s">
        <v>125</v>
      </c>
    </row>
    <row r="38" spans="1:10" ht="27">
      <c r="A38" s="27" t="s">
        <v>115</v>
      </c>
      <c r="B38" s="27" t="s">
        <v>98</v>
      </c>
      <c r="C38" s="27" t="s">
        <v>126</v>
      </c>
      <c r="D38" s="27" t="s">
        <v>127</v>
      </c>
      <c r="E38" s="27" t="s">
        <v>40</v>
      </c>
      <c r="F38" s="27" t="s">
        <v>41</v>
      </c>
      <c r="G38" s="27" t="s">
        <v>22</v>
      </c>
      <c r="H38" s="27">
        <v>0.95</v>
      </c>
      <c r="I38" s="27">
        <v>1</v>
      </c>
      <c r="J38" s="27" t="s">
        <v>128</v>
      </c>
    </row>
    <row r="39" spans="1:10">
      <c r="A39" s="27" t="s">
        <v>117</v>
      </c>
      <c r="B39" s="27" t="s">
        <v>98</v>
      </c>
      <c r="C39" s="27" t="s">
        <v>22</v>
      </c>
      <c r="D39" s="27" t="s">
        <v>22</v>
      </c>
      <c r="E39" s="27" t="s">
        <v>40</v>
      </c>
      <c r="F39" s="27" t="s">
        <v>55</v>
      </c>
      <c r="G39" s="27" t="s">
        <v>22</v>
      </c>
      <c r="H39" s="27">
        <v>0.4</v>
      </c>
      <c r="I39" s="27">
        <v>1</v>
      </c>
      <c r="J39" s="27" t="s">
        <v>68</v>
      </c>
    </row>
  </sheetData>
  <autoFilter ref="A1:J39" xr:uid="{00000000-0009-0000-0000-000001000000}"/>
  <phoneticPr fontId="1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showGridLines="0" workbookViewId="0">
      <pane ySplit="1" topLeftCell="A2" activePane="bottomLeft" state="frozen"/>
      <selection pane="bottomLeft"/>
    </sheetView>
  </sheetViews>
  <sheetFormatPr defaultRowHeight="13.5"/>
  <cols>
    <col min="1" max="1" width="30" customWidth="1"/>
    <col min="2" max="2" width="18" customWidth="1"/>
    <col min="3" max="3" width="48" customWidth="1"/>
    <col min="4" max="4" width="18" customWidth="1"/>
    <col min="5" max="5" width="16" customWidth="1"/>
    <col min="6" max="6" width="18" customWidth="1"/>
    <col min="7" max="7" width="70" customWidth="1"/>
    <col min="8" max="8" width="24" customWidth="1"/>
    <col min="9" max="9" width="20" customWidth="1"/>
    <col min="10" max="10" width="54" customWidth="1"/>
  </cols>
  <sheetData>
    <row r="1" spans="1:10" ht="27">
      <c r="A1" s="26" t="s">
        <v>129</v>
      </c>
      <c r="B1" s="26" t="s">
        <v>28</v>
      </c>
      <c r="C1" s="26" t="s">
        <v>130</v>
      </c>
      <c r="D1" s="26" t="s">
        <v>131</v>
      </c>
      <c r="E1" s="26" t="s">
        <v>132</v>
      </c>
      <c r="F1" s="26" t="s">
        <v>133</v>
      </c>
      <c r="G1" s="26" t="s">
        <v>134</v>
      </c>
      <c r="H1" s="26" t="s">
        <v>33</v>
      </c>
      <c r="I1" s="26" t="s">
        <v>135</v>
      </c>
      <c r="J1" s="26" t="s">
        <v>136</v>
      </c>
    </row>
    <row r="2" spans="1:10">
      <c r="A2" s="27" t="s">
        <v>43</v>
      </c>
      <c r="B2" s="27" t="s">
        <v>44</v>
      </c>
      <c r="C2" s="27" t="s">
        <v>43</v>
      </c>
      <c r="D2" s="27" t="s">
        <v>137</v>
      </c>
      <c r="E2" s="27" t="s">
        <v>138</v>
      </c>
      <c r="F2" s="27" t="s">
        <v>139</v>
      </c>
      <c r="G2" s="27" t="s">
        <v>140</v>
      </c>
      <c r="H2" s="27" t="s">
        <v>22</v>
      </c>
      <c r="I2" s="27" t="s">
        <v>55</v>
      </c>
      <c r="J2" s="27"/>
    </row>
    <row r="3" spans="1:10">
      <c r="A3" s="27" t="s">
        <v>47</v>
      </c>
      <c r="B3" s="27" t="s">
        <v>44</v>
      </c>
      <c r="C3" s="27" t="s">
        <v>47</v>
      </c>
      <c r="D3" s="27" t="s">
        <v>137</v>
      </c>
      <c r="E3" s="27" t="s">
        <v>141</v>
      </c>
      <c r="F3" s="27" t="s">
        <v>139</v>
      </c>
      <c r="G3" s="27" t="s">
        <v>142</v>
      </c>
      <c r="H3" s="27" t="s">
        <v>22</v>
      </c>
      <c r="I3" s="27" t="s">
        <v>55</v>
      </c>
      <c r="J3" s="27"/>
    </row>
    <row r="4" spans="1:10">
      <c r="A4" s="27" t="s">
        <v>143</v>
      </c>
      <c r="B4" s="27" t="s">
        <v>51</v>
      </c>
      <c r="C4" s="27" t="s">
        <v>50</v>
      </c>
      <c r="D4" s="27" t="s">
        <v>137</v>
      </c>
      <c r="E4" s="27" t="s">
        <v>144</v>
      </c>
      <c r="F4" s="27" t="s">
        <v>139</v>
      </c>
      <c r="G4" s="27" t="s">
        <v>145</v>
      </c>
      <c r="H4" s="27" t="s">
        <v>22</v>
      </c>
      <c r="I4" s="27" t="s">
        <v>55</v>
      </c>
      <c r="J4" s="27"/>
    </row>
    <row r="5" spans="1:10" ht="27">
      <c r="A5" s="27" t="s">
        <v>146</v>
      </c>
      <c r="B5" s="27" t="s">
        <v>147</v>
      </c>
      <c r="C5" s="27" t="s">
        <v>146</v>
      </c>
      <c r="D5" s="27" t="s">
        <v>137</v>
      </c>
      <c r="E5" s="27" t="s">
        <v>148</v>
      </c>
      <c r="F5" s="27" t="s">
        <v>149</v>
      </c>
      <c r="G5" s="27" t="s">
        <v>150</v>
      </c>
      <c r="H5" s="27" t="s">
        <v>22</v>
      </c>
      <c r="I5" s="27" t="s">
        <v>55</v>
      </c>
      <c r="J5" s="27" t="s">
        <v>151</v>
      </c>
    </row>
    <row r="6" spans="1:10" ht="27">
      <c r="A6" s="27" t="s">
        <v>66</v>
      </c>
      <c r="B6" s="27" t="s">
        <v>67</v>
      </c>
      <c r="C6" s="27" t="s">
        <v>66</v>
      </c>
      <c r="D6" s="27" t="s">
        <v>137</v>
      </c>
      <c r="E6" s="27" t="s">
        <v>152</v>
      </c>
      <c r="F6" s="27" t="s">
        <v>139</v>
      </c>
      <c r="G6" s="27" t="s">
        <v>153</v>
      </c>
      <c r="H6" s="27" t="s">
        <v>22</v>
      </c>
      <c r="I6" s="27" t="s">
        <v>55</v>
      </c>
      <c r="J6" s="27" t="s">
        <v>154</v>
      </c>
    </row>
    <row r="7" spans="1:10" ht="40.5">
      <c r="A7" s="27" t="s">
        <v>155</v>
      </c>
      <c r="B7" s="27" t="s">
        <v>70</v>
      </c>
      <c r="C7" s="27" t="s">
        <v>156</v>
      </c>
      <c r="D7" s="27" t="s">
        <v>137</v>
      </c>
      <c r="E7" s="27" t="s">
        <v>157</v>
      </c>
      <c r="F7" s="27" t="s">
        <v>158</v>
      </c>
      <c r="G7" s="27" t="s">
        <v>159</v>
      </c>
      <c r="H7" s="27" t="s">
        <v>160</v>
      </c>
      <c r="I7" s="27" t="s">
        <v>41</v>
      </c>
      <c r="J7" s="27" t="s">
        <v>161</v>
      </c>
    </row>
    <row r="8" spans="1:10">
      <c r="A8" s="27" t="s">
        <v>162</v>
      </c>
      <c r="B8" s="27" t="s">
        <v>98</v>
      </c>
      <c r="C8" s="27" t="s">
        <v>109</v>
      </c>
      <c r="D8" s="27" t="s">
        <v>137</v>
      </c>
      <c r="E8" s="27" t="s">
        <v>163</v>
      </c>
      <c r="F8" s="27" t="s">
        <v>139</v>
      </c>
      <c r="G8" s="27" t="s">
        <v>164</v>
      </c>
      <c r="H8" s="27" t="s">
        <v>22</v>
      </c>
      <c r="I8" s="27" t="s">
        <v>55</v>
      </c>
      <c r="J8" s="27"/>
    </row>
    <row r="9" spans="1:10">
      <c r="A9" s="27" t="s">
        <v>82</v>
      </c>
      <c r="B9" s="27" t="s">
        <v>83</v>
      </c>
      <c r="C9" s="27" t="s">
        <v>82</v>
      </c>
      <c r="D9" s="27" t="s">
        <v>137</v>
      </c>
      <c r="E9" s="27" t="s">
        <v>165</v>
      </c>
      <c r="F9" s="27" t="s">
        <v>139</v>
      </c>
      <c r="G9" s="27" t="s">
        <v>166</v>
      </c>
      <c r="H9" s="27" t="s">
        <v>22</v>
      </c>
      <c r="I9" s="27" t="s">
        <v>55</v>
      </c>
      <c r="J9" s="27"/>
    </row>
    <row r="10" spans="1:10">
      <c r="A10" s="27" t="s">
        <v>86</v>
      </c>
      <c r="B10" s="27" t="s">
        <v>83</v>
      </c>
      <c r="C10" s="27" t="s">
        <v>86</v>
      </c>
      <c r="D10" s="27" t="s">
        <v>137</v>
      </c>
      <c r="E10" s="27" t="s">
        <v>167</v>
      </c>
      <c r="F10" s="27" t="s">
        <v>139</v>
      </c>
      <c r="G10" s="27" t="s">
        <v>168</v>
      </c>
      <c r="H10" s="27" t="s">
        <v>22</v>
      </c>
      <c r="I10" s="27" t="s">
        <v>55</v>
      </c>
      <c r="J10" s="27"/>
    </row>
    <row r="11" spans="1:10">
      <c r="A11" s="27" t="s">
        <v>169</v>
      </c>
      <c r="B11" s="27" t="s">
        <v>83</v>
      </c>
      <c r="C11" s="27" t="s">
        <v>170</v>
      </c>
      <c r="D11" s="27" t="s">
        <v>137</v>
      </c>
      <c r="E11" s="27" t="s">
        <v>171</v>
      </c>
      <c r="F11" s="27" t="s">
        <v>172</v>
      </c>
      <c r="G11" s="27" t="e">
        <f>F7*G7</f>
        <v>#VALUE!</v>
      </c>
      <c r="H11" s="27" t="s">
        <v>22</v>
      </c>
      <c r="I11" s="27" t="s">
        <v>55</v>
      </c>
      <c r="J11" s="27"/>
    </row>
    <row r="12" spans="1:10" ht="40.5">
      <c r="A12" s="27" t="s">
        <v>173</v>
      </c>
      <c r="B12" s="27" t="s">
        <v>51</v>
      </c>
      <c r="C12" s="27" t="s">
        <v>174</v>
      </c>
      <c r="D12" s="27" t="s">
        <v>137</v>
      </c>
      <c r="E12" s="27" t="s">
        <v>175</v>
      </c>
      <c r="F12" s="27" t="s">
        <v>158</v>
      </c>
      <c r="G12" s="27" t="s">
        <v>176</v>
      </c>
      <c r="H12" s="27" t="s">
        <v>160</v>
      </c>
      <c r="I12" s="27" t="s">
        <v>41</v>
      </c>
      <c r="J12" s="27" t="s">
        <v>177</v>
      </c>
    </row>
    <row r="13" spans="1:10" ht="40.5">
      <c r="A13" s="27" t="s">
        <v>178</v>
      </c>
      <c r="B13" s="27" t="s">
        <v>98</v>
      </c>
      <c r="C13" s="27" t="s">
        <v>179</v>
      </c>
      <c r="D13" s="27" t="s">
        <v>137</v>
      </c>
      <c r="E13" s="27" t="s">
        <v>180</v>
      </c>
      <c r="F13" s="27" t="s">
        <v>158</v>
      </c>
      <c r="G13" s="27" t="s">
        <v>181</v>
      </c>
      <c r="H13" s="27" t="s">
        <v>160</v>
      </c>
      <c r="I13" s="27" t="s">
        <v>41</v>
      </c>
      <c r="J13" s="27" t="s">
        <v>182</v>
      </c>
    </row>
    <row r="14" spans="1:10">
      <c r="A14" s="27" t="s">
        <v>183</v>
      </c>
      <c r="B14" s="27" t="s">
        <v>91</v>
      </c>
      <c r="C14" s="27" t="s">
        <v>90</v>
      </c>
      <c r="D14" s="27" t="s">
        <v>137</v>
      </c>
      <c r="E14" s="27" t="s">
        <v>184</v>
      </c>
      <c r="F14" s="27" t="s">
        <v>139</v>
      </c>
      <c r="G14" s="27" t="s">
        <v>185</v>
      </c>
      <c r="H14" s="27" t="s">
        <v>22</v>
      </c>
      <c r="I14" s="27" t="s">
        <v>55</v>
      </c>
      <c r="J14" s="27"/>
    </row>
    <row r="15" spans="1:10">
      <c r="A15" s="27" t="s">
        <v>186</v>
      </c>
      <c r="B15" s="27" t="s">
        <v>91</v>
      </c>
      <c r="C15" s="27"/>
      <c r="D15" s="27" t="s">
        <v>137</v>
      </c>
      <c r="E15" s="27" t="s">
        <v>187</v>
      </c>
      <c r="F15" s="27" t="s">
        <v>139</v>
      </c>
      <c r="G15" s="27" t="s">
        <v>188</v>
      </c>
      <c r="H15" s="27" t="s">
        <v>22</v>
      </c>
      <c r="I15" s="27" t="s">
        <v>55</v>
      </c>
      <c r="J15" s="27"/>
    </row>
    <row r="16" spans="1:10">
      <c r="A16" s="27" t="s">
        <v>189</v>
      </c>
      <c r="B16" s="27" t="s">
        <v>91</v>
      </c>
      <c r="C16" s="27" t="s">
        <v>90</v>
      </c>
      <c r="D16" s="27" t="s">
        <v>137</v>
      </c>
      <c r="E16" s="27" t="s">
        <v>190</v>
      </c>
      <c r="F16" s="27" t="s">
        <v>139</v>
      </c>
      <c r="G16" s="27" t="s">
        <v>191</v>
      </c>
      <c r="H16" s="27" t="s">
        <v>22</v>
      </c>
      <c r="I16" s="27" t="s">
        <v>55</v>
      </c>
      <c r="J16" s="27"/>
    </row>
    <row r="17" spans="1:10">
      <c r="A17" s="27" t="s">
        <v>192</v>
      </c>
      <c r="B17" s="27" t="s">
        <v>91</v>
      </c>
      <c r="C17" s="27" t="s">
        <v>90</v>
      </c>
      <c r="D17" s="27" t="s">
        <v>137</v>
      </c>
      <c r="E17" s="27" t="s">
        <v>193</v>
      </c>
      <c r="F17" s="27" t="s">
        <v>139</v>
      </c>
      <c r="G17" s="27" t="s">
        <v>194</v>
      </c>
      <c r="H17" s="27" t="s">
        <v>22</v>
      </c>
      <c r="I17" s="27" t="s">
        <v>55</v>
      </c>
      <c r="J17" s="27"/>
    </row>
    <row r="18" spans="1:10">
      <c r="A18" s="27" t="s">
        <v>195</v>
      </c>
      <c r="B18" s="27" t="s">
        <v>91</v>
      </c>
      <c r="C18" s="27" t="s">
        <v>90</v>
      </c>
      <c r="D18" s="27" t="s">
        <v>137</v>
      </c>
      <c r="E18" s="27" t="s">
        <v>196</v>
      </c>
      <c r="F18" s="27" t="s">
        <v>172</v>
      </c>
      <c r="G18" s="27" t="e">
        <f>F8*G8</f>
        <v>#VALUE!</v>
      </c>
      <c r="H18" s="27" t="s">
        <v>22</v>
      </c>
      <c r="I18" s="27" t="s">
        <v>55</v>
      </c>
      <c r="J18" s="27"/>
    </row>
    <row r="19" spans="1:10">
      <c r="A19" s="27" t="s">
        <v>197</v>
      </c>
      <c r="B19" s="27" t="s">
        <v>91</v>
      </c>
      <c r="C19" s="27" t="s">
        <v>92</v>
      </c>
      <c r="D19" s="27" t="s">
        <v>137</v>
      </c>
      <c r="E19" s="27" t="s">
        <v>198</v>
      </c>
      <c r="F19" s="27" t="s">
        <v>139</v>
      </c>
      <c r="G19" s="27" t="s">
        <v>199</v>
      </c>
      <c r="H19" s="27" t="s">
        <v>22</v>
      </c>
      <c r="I19" s="27" t="s">
        <v>55</v>
      </c>
      <c r="J19" s="27"/>
    </row>
    <row r="20" spans="1:10">
      <c r="A20" s="27" t="s">
        <v>200</v>
      </c>
      <c r="B20" s="27" t="s">
        <v>95</v>
      </c>
      <c r="C20" s="27" t="s">
        <v>201</v>
      </c>
      <c r="D20" s="27" t="s">
        <v>137</v>
      </c>
      <c r="E20" s="27" t="s">
        <v>202</v>
      </c>
      <c r="F20" s="27" t="s">
        <v>172</v>
      </c>
      <c r="G20" s="27">
        <f>SUM(H7:H8)</f>
        <v>0</v>
      </c>
      <c r="H20" s="27" t="s">
        <v>22</v>
      </c>
      <c r="I20" s="27" t="s">
        <v>55</v>
      </c>
      <c r="J20" s="27"/>
    </row>
    <row r="21" spans="1:10" ht="40.5">
      <c r="A21" s="27" t="s">
        <v>203</v>
      </c>
      <c r="B21" s="27" t="s">
        <v>204</v>
      </c>
      <c r="C21" s="27" t="s">
        <v>205</v>
      </c>
      <c r="D21" s="27" t="s">
        <v>206</v>
      </c>
      <c r="E21" s="27" t="s">
        <v>207</v>
      </c>
      <c r="F21" s="27" t="s">
        <v>208</v>
      </c>
      <c r="G21" s="27" t="s">
        <v>209</v>
      </c>
      <c r="H21" s="27"/>
      <c r="I21" s="27" t="s">
        <v>41</v>
      </c>
      <c r="J21" s="27" t="s">
        <v>210</v>
      </c>
    </row>
    <row r="22" spans="1:10" ht="40.5">
      <c r="A22" s="27" t="s">
        <v>211</v>
      </c>
      <c r="B22" s="27" t="s">
        <v>204</v>
      </c>
      <c r="C22" s="27" t="s">
        <v>205</v>
      </c>
      <c r="D22" s="27" t="s">
        <v>137</v>
      </c>
      <c r="E22" s="27" t="s">
        <v>212</v>
      </c>
      <c r="F22" s="27" t="s">
        <v>213</v>
      </c>
      <c r="G22" s="27" t="s">
        <v>214</v>
      </c>
      <c r="H22" s="27" t="s">
        <v>22</v>
      </c>
      <c r="I22" s="27" t="s">
        <v>41</v>
      </c>
      <c r="J22" s="27" t="s">
        <v>215</v>
      </c>
    </row>
    <row r="23" spans="1:10" ht="27">
      <c r="A23" s="27" t="s">
        <v>216</v>
      </c>
      <c r="B23" s="27" t="s">
        <v>204</v>
      </c>
      <c r="C23" s="27" t="s">
        <v>217</v>
      </c>
      <c r="D23" s="27" t="s">
        <v>137</v>
      </c>
      <c r="E23" s="27" t="s">
        <v>218</v>
      </c>
      <c r="F23" s="27" t="s">
        <v>219</v>
      </c>
      <c r="G23" s="27" t="s">
        <v>220</v>
      </c>
      <c r="H23" s="27"/>
      <c r="I23" s="27" t="s">
        <v>55</v>
      </c>
      <c r="J23" s="27"/>
    </row>
  </sheetData>
  <autoFilter ref="A1:J23" xr:uid="{00000000-0009-0000-0000-000002000000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Parsed_OCR_Data</vt:lpstr>
      <vt:lpstr>Field_Map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dechao Liu</cp:lastModifiedBy>
  <cp:lastPrinted>2026-06-17T11:13:04Z</cp:lastPrinted>
  <dcterms:created xsi:type="dcterms:W3CDTF">2019-05-30T04:38:05Z</dcterms:created>
  <dcterms:modified xsi:type="dcterms:W3CDTF">2026-07-01T11:11:51Z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0x010100FBFF92D403E7554D9BB572B238F1A8DC</vt:lpwstr>
  </property>
  <property fmtid="{D5CDD505-2E9C-101B-9397-08002B2CF9AE}" pid="3" name="MediaServiceImageTags">
    <vt:lpwstr/>
  </property>
</Properties>
</file>